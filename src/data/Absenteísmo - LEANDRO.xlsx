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ABSENTEÍSMO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ABSENTEÍSMO!$B$67:$C$195</definedName>
    <definedName name="_______________ago1" hidden="1">{"'gráf jan00'!$A$1:$AK$41"}</definedName>
    <definedName name="_______________ago10" hidden="1">{"'gráf jan00'!$A$1:$AK$41"}</definedName>
    <definedName name="_______________ago2" hidden="1">{"'gráf jan00'!$A$1:$AK$41"}</definedName>
    <definedName name="_______________ago3" hidden="1">{"'gráf jan00'!$A$1:$AK$41"}</definedName>
    <definedName name="_______________ago4" hidden="1">{"'gráf jan00'!$A$1:$AK$41"}</definedName>
    <definedName name="_______________ago5" hidden="1">{"'gráf jan00'!$A$1:$AK$41"}</definedName>
    <definedName name="_______________ago6" hidden="1">{"'gráf jan00'!$A$1:$AK$41"}</definedName>
    <definedName name="_______________ago7" hidden="1">{"'gráf jan00'!$A$1:$AK$41"}</definedName>
    <definedName name="_______________ago8" hidden="1">{"'gráf jan00'!$A$1:$AK$41"}</definedName>
    <definedName name="_______________ago9" hidden="1">{"'gráf jan00'!$A$1:$AK$41"}</definedName>
    <definedName name="_______________n2" hidden="1">{#N/A,#N/A,FALSE,"PCOL"}</definedName>
    <definedName name="_______________r" hidden="1">{"'CptDifn'!$AA$32:$AG$32"}</definedName>
    <definedName name="_____________ago1" hidden="1">{"'gráf jan00'!$A$1:$AK$41"}</definedName>
    <definedName name="_____________ago10" hidden="1">{"'gráf jan00'!$A$1:$AK$41"}</definedName>
    <definedName name="_____________ago2" hidden="1">{"'gráf jan00'!$A$1:$AK$41"}</definedName>
    <definedName name="_____________ago3" hidden="1">{"'gráf jan00'!$A$1:$AK$41"}</definedName>
    <definedName name="_____________ago4" hidden="1">{"'gráf jan00'!$A$1:$AK$41"}</definedName>
    <definedName name="_____________ago5" hidden="1">{"'gráf jan00'!$A$1:$AK$41"}</definedName>
    <definedName name="_____________ago6" hidden="1">{"'gráf jan00'!$A$1:$AK$41"}</definedName>
    <definedName name="_____________ago7" hidden="1">{"'gráf jan00'!$A$1:$AK$41"}</definedName>
    <definedName name="_____________ago8" hidden="1">{"'gráf jan00'!$A$1:$AK$41"}</definedName>
    <definedName name="_____________ago9" hidden="1">{"'gráf jan00'!$A$1:$AK$41"}</definedName>
    <definedName name="_____________n2" hidden="1">{#N/A,#N/A,FALSE,"PCOL"}</definedName>
    <definedName name="_____________r" hidden="1">{"'CptDifn'!$AA$32:$AG$32"}</definedName>
    <definedName name="___________ago1" hidden="1">{"'gráf jan00'!$A$1:$AK$41"}</definedName>
    <definedName name="___________ago10" hidden="1">{"'gráf jan00'!$A$1:$AK$41"}</definedName>
    <definedName name="___________ago2" hidden="1">{"'gráf jan00'!$A$1:$AK$41"}</definedName>
    <definedName name="___________ago3" hidden="1">{"'gráf jan00'!$A$1:$AK$41"}</definedName>
    <definedName name="___________ago4" hidden="1">{"'gráf jan00'!$A$1:$AK$41"}</definedName>
    <definedName name="___________ago5" hidden="1">{"'gráf jan00'!$A$1:$AK$41"}</definedName>
    <definedName name="___________ago6" hidden="1">{"'gráf jan00'!$A$1:$AK$41"}</definedName>
    <definedName name="___________ago7" hidden="1">{"'gráf jan00'!$A$1:$AK$41"}</definedName>
    <definedName name="___________ago8" hidden="1">{"'gráf jan00'!$A$1:$AK$41"}</definedName>
    <definedName name="___________ago9" hidden="1">{"'gráf jan00'!$A$1:$AK$41"}</definedName>
    <definedName name="___________n2" hidden="1">{#N/A,#N/A,FALSE,"PCOL"}</definedName>
    <definedName name="___________r" hidden="1">{"'CptDifn'!$AA$32:$AG$32"}</definedName>
    <definedName name="_________ago1" hidden="1">{"'gráf jan00'!$A$1:$AK$41"}</definedName>
    <definedName name="_________ago10" hidden="1">{"'gráf jan00'!$A$1:$AK$41"}</definedName>
    <definedName name="_________ago2" hidden="1">{"'gráf jan00'!$A$1:$AK$41"}</definedName>
    <definedName name="_________ago3" hidden="1">{"'gráf jan00'!$A$1:$AK$41"}</definedName>
    <definedName name="_________ago4" hidden="1">{"'gráf jan00'!$A$1:$AK$41"}</definedName>
    <definedName name="_________ago5" hidden="1">{"'gráf jan00'!$A$1:$AK$41"}</definedName>
    <definedName name="_________ago6" hidden="1">{"'gráf jan00'!$A$1:$AK$41"}</definedName>
    <definedName name="_________ago7" hidden="1">{"'gráf jan00'!$A$1:$AK$41"}</definedName>
    <definedName name="_________ago8" hidden="1">{"'gráf jan00'!$A$1:$AK$41"}</definedName>
    <definedName name="_________ago9" hidden="1">{"'gráf jan00'!$A$1:$AK$41"}</definedName>
    <definedName name="_________n2" hidden="1">{#N/A,#N/A,FALSE,"PCOL"}</definedName>
    <definedName name="_________r" hidden="1">{"'CptDifn'!$AA$32:$AG$32"}</definedName>
    <definedName name="_______ago1" hidden="1">{"'gráf jan00'!$A$1:$AK$41"}</definedName>
    <definedName name="_______ago10" hidden="1">{"'gráf jan00'!$A$1:$AK$41"}</definedName>
    <definedName name="_______ago2" hidden="1">{"'gráf jan00'!$A$1:$AK$41"}</definedName>
    <definedName name="_______ago3" hidden="1">{"'gráf jan00'!$A$1:$AK$41"}</definedName>
    <definedName name="_______ago4" hidden="1">{"'gráf jan00'!$A$1:$AK$41"}</definedName>
    <definedName name="_______ago5" hidden="1">{"'gráf jan00'!$A$1:$AK$41"}</definedName>
    <definedName name="_______ago6" hidden="1">{"'gráf jan00'!$A$1:$AK$41"}</definedName>
    <definedName name="_______ago7" hidden="1">{"'gráf jan00'!$A$1:$AK$41"}</definedName>
    <definedName name="_______ago8" hidden="1">{"'gráf jan00'!$A$1:$AK$41"}</definedName>
    <definedName name="_______ago9" hidden="1">{"'gráf jan00'!$A$1:$AK$41"}</definedName>
    <definedName name="_______n2" hidden="1">{#N/A,#N/A,FALSE,"PCOL"}</definedName>
    <definedName name="_______r" hidden="1">{"'CptDifn'!$AA$32:$AG$32"}</definedName>
    <definedName name="______ago1" hidden="1">{"'gráf jan00'!$A$1:$AK$41"}</definedName>
    <definedName name="______ago10" hidden="1">{"'gráf jan00'!$A$1:$AK$41"}</definedName>
    <definedName name="______ago2" hidden="1">{"'gráf jan00'!$A$1:$AK$41"}</definedName>
    <definedName name="______ago3" hidden="1">{"'gráf jan00'!$A$1:$AK$41"}</definedName>
    <definedName name="______ago4" hidden="1">{"'gráf jan00'!$A$1:$AK$41"}</definedName>
    <definedName name="______ago5" hidden="1">{"'gráf jan00'!$A$1:$AK$41"}</definedName>
    <definedName name="______ago6" hidden="1">{"'gráf jan00'!$A$1:$AK$41"}</definedName>
    <definedName name="______ago7" hidden="1">{"'gráf jan00'!$A$1:$AK$41"}</definedName>
    <definedName name="______ago8" hidden="1">{"'gráf jan00'!$A$1:$AK$41"}</definedName>
    <definedName name="______ago9" hidden="1">{"'gráf jan00'!$A$1:$AK$41"}</definedName>
    <definedName name="______n2" hidden="1">{#N/A,#N/A,FALSE,"PCOL"}</definedName>
    <definedName name="______r" hidden="1">{"'CptDifn'!$AA$32:$AG$32"}</definedName>
    <definedName name="_____ago1" hidden="1">{"'gráf jan00'!$A$1:$AK$41"}</definedName>
    <definedName name="_____ago10" hidden="1">{"'gráf jan00'!$A$1:$AK$41"}</definedName>
    <definedName name="_____ago2" hidden="1">{"'gráf jan00'!$A$1:$AK$41"}</definedName>
    <definedName name="_____ago3" hidden="1">{"'gráf jan00'!$A$1:$AK$41"}</definedName>
    <definedName name="_____ago4" hidden="1">{"'gráf jan00'!$A$1:$AK$41"}</definedName>
    <definedName name="_____ago5" hidden="1">{"'gráf jan00'!$A$1:$AK$41"}</definedName>
    <definedName name="_____ago6" hidden="1">{"'gráf jan00'!$A$1:$AK$41"}</definedName>
    <definedName name="_____ago7" hidden="1">{"'gráf jan00'!$A$1:$AK$41"}</definedName>
    <definedName name="_____ago8" hidden="1">{"'gráf jan00'!$A$1:$AK$41"}</definedName>
    <definedName name="_____ago9" hidden="1">{"'gráf jan00'!$A$1:$AK$41"}</definedName>
    <definedName name="_____n2" hidden="1">{#N/A,#N/A,FALSE,"PCOL"}</definedName>
    <definedName name="_____r" hidden="1">{"'CptDifn'!$AA$32:$AG$32"}</definedName>
    <definedName name="____ago1" hidden="1">{"'gráf jan00'!$A$1:$AK$41"}</definedName>
    <definedName name="____ago10" hidden="1">{"'gráf jan00'!$A$1:$AK$41"}</definedName>
    <definedName name="____ago2" hidden="1">{"'gráf jan00'!$A$1:$AK$41"}</definedName>
    <definedName name="____ago3" hidden="1">{"'gráf jan00'!$A$1:$AK$41"}</definedName>
    <definedName name="____ago4" hidden="1">{"'gráf jan00'!$A$1:$AK$41"}</definedName>
    <definedName name="____ago5" hidden="1">{"'gráf jan00'!$A$1:$AK$41"}</definedName>
    <definedName name="____ago6" hidden="1">{"'gráf jan00'!$A$1:$AK$41"}</definedName>
    <definedName name="____ago7" hidden="1">{"'gráf jan00'!$A$1:$AK$41"}</definedName>
    <definedName name="____ago8" hidden="1">{"'gráf jan00'!$A$1:$AK$41"}</definedName>
    <definedName name="____ago9" hidden="1">{"'gráf jan00'!$A$1:$AK$41"}</definedName>
    <definedName name="____r" hidden="1">{"'CptDifn'!$AA$32:$AG$32"}</definedName>
    <definedName name="___ago1" hidden="1">{"'gráf jan00'!$A$1:$AK$41"}</definedName>
    <definedName name="___ago10" hidden="1">{"'gráf jan00'!$A$1:$AK$41"}</definedName>
    <definedName name="___ago2" hidden="1">{"'gráf jan00'!$A$1:$AK$41"}</definedName>
    <definedName name="___ago3" hidden="1">{"'gráf jan00'!$A$1:$AK$41"}</definedName>
    <definedName name="___ago4" hidden="1">{"'gráf jan00'!$A$1:$AK$41"}</definedName>
    <definedName name="___ago5" hidden="1">{"'gráf jan00'!$A$1:$AK$41"}</definedName>
    <definedName name="___ago6" hidden="1">{"'gráf jan00'!$A$1:$AK$41"}</definedName>
    <definedName name="___ago7" hidden="1">{"'gráf jan00'!$A$1:$AK$41"}</definedName>
    <definedName name="___ago8" hidden="1">{"'gráf jan00'!$A$1:$AK$41"}</definedName>
    <definedName name="___ago9" hidden="1">{"'gráf jan00'!$A$1:$AK$41"}</definedName>
    <definedName name="___n2" hidden="1">{#N/A,#N/A,FALSE,"PCOL"}</definedName>
    <definedName name="___r" hidden="1">{"'CptDifn'!$AA$32:$AG$32"}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n2" hidden="1">{#N/A,#N/A,FALSE,"PCOL"}</definedName>
    <definedName name="__r" hidden="1">{"'CptDifn'!$AA$32:$AG$32"}</definedName>
    <definedName name="_1__123Graph_ACHART_1" hidden="1">[1]EAIGESEN!$O$8:$O$8</definedName>
    <definedName name="_2__123Graph_ACHART_3" hidden="1">[1]EAIGESEN!$O$16:$O$17</definedName>
    <definedName name="_3__123Graph_BCHART_1" hidden="1">[1]EAIGESEN!#REF!</definedName>
    <definedName name="_4__123Graph_CCHART_1" hidden="1">[1]EAIGESEN!#REF!</definedName>
    <definedName name="_5__123Graph_DCHART_1" hidden="1">[1]EAIGESEN!#REF!</definedName>
    <definedName name="_6__123Graph_ECHART_1" hidden="1">[1]EAIGESEN!#REF!</definedName>
    <definedName name="_7__123Graph_FCHART_1" hidden="1">[1]EAIGESEN!#REF!</definedName>
    <definedName name="_8__123Graph_XCHART_3" hidden="1">[2]estgg!#REF!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n2" hidden="1">{#N/A,#N/A,FALSE,"PCOL"}</definedName>
    <definedName name="_Order1" hidden="1">255</definedName>
    <definedName name="_Order2" hidden="1">255</definedName>
    <definedName name="_r" hidden="1">{"'CptDifn'!$AA$32:$AG$32"}</definedName>
    <definedName name="aa" hidden="1">{"'Quadro'!$A$4:$BG$78"}</definedName>
    <definedName name="aaa" hidden="1">{"'teste'!$B$2:$R$49"}</definedName>
    <definedName name="aasaasas" hidden="1">{#N/A,#N/A,TRUE,"indice";#N/A,#N/A,TRUE,"indicadores";#N/A,#N/A,TRUE,"comentarios"}</definedName>
    <definedName name="AB" hidden="1">{"'gráf jan00'!$A$1:$AK$41"}</definedName>
    <definedName name="abc" hidden="1">{#N/A,#N/A,FALSE,"PCOL"}</definedName>
    <definedName name="abcd" hidden="1">{#N/A,#N/A,FALSE,"PCOL"}</definedName>
    <definedName name="Acidente" hidden="1">{"'gráf jan00'!$A$1:$AK$41"}</definedName>
    <definedName name="adasdad" hidden="1">{"'gráf jan00'!$A$1:$AK$41"}</definedName>
    <definedName name="ADED" hidden="1">{"'gráf jan00'!$A$1:$AK$41"}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5" hidden="1">{"'gráf jan00'!$A$1:$AK$41"}</definedName>
    <definedName name="Agosto" hidden="1">{#N/A,#N/A,FALSE,"SITUAÇÃO DIÁRIA ";#N/A,#N/A,FALSE,"7 à 7"}</definedName>
    <definedName name="ANEXO1" hidden="1">{"'teste'!$B$2:$R$49"}</definedName>
    <definedName name="ANEXO2" hidden="1">{"'teste'!$B$2:$R$49"}</definedName>
    <definedName name="ans" hidden="1">{#N/A,#N/A,FALSE,"PCOL"}</definedName>
    <definedName name="as" hidden="1">{"'RR'!$A$2:$E$81"}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" hidden="1">{"'gráf jan00'!$A$1:$AK$41"}</definedName>
    <definedName name="asdad" hidden="1">{"'gráf jan00'!$A$1:$AK$41"}</definedName>
    <definedName name="asdadadad" hidden="1">{"'gráf jan00'!$A$1:$AK$41"}</definedName>
    <definedName name="asdasdasdas" hidden="1">{"'gráf jan00'!$A$1:$AK$41"}</definedName>
    <definedName name="asdf" hidden="1">{"'Quadro'!$A$4:$BG$78"}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D" hidden="1">{"'Quadro'!$A$4:$BG$78"}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{"'CptDifn'!$AA$32:$AG$32"}</definedName>
    <definedName name="c_c" hidden="1">{"'REL CUSTODIF'!$B$1:$H$72"}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harles" hidden="1">{"'gráf jan00'!$A$1:$AK$41"}</definedName>
    <definedName name="CMC" hidden="1">{"'Quadro'!$A$4:$BG$78"}</definedName>
    <definedName name="Cobre" hidden="1">{"'CptDifn'!$AA$32:$AG$32"}</definedName>
    <definedName name="Concentrado_Cobre" hidden="1">{"'CptDifn'!$AA$32:$AG$32"}</definedName>
    <definedName name="d" hidden="1">{"'Quadro'!$A$4:$BG$78"}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vid" hidden="1">{"'gráf jan00'!$A$1:$AK$41"}</definedName>
    <definedName name="david1" hidden="1">{"'gráf jan00'!$A$1:$AK$41"}</definedName>
    <definedName name="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CG" hidden="1">{"'CptDifn'!$AA$32:$AG$32"}</definedName>
    <definedName name="DEGL" hidden="1">{"'CptDifn'!$AA$32:$AG$32"}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ILO_Ferrovia" hidden="1">{"'Quadro'!$A$4:$BG$78"}</definedName>
    <definedName name="DispTelGASAG" hidden="1">{"'teste'!$B$2:$R$49"}</definedName>
    <definedName name="dsda" hidden="1">{#N/A,#N/A,TRUE,"indice";#N/A,#N/A,TRUE,"indicadores";#N/A,#N/A,TRUE,"comentarios"}</definedName>
    <definedName name="DV" hidden="1">{"'Quadro'!$A$4:$BG$78"}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r" hidden="1">{"'gráf jan00'!$A$1:$AK$41"}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" hidden="1">{"'teste'!$B$2:$R$49"}</definedName>
    <definedName name="est_B" hidden="1">{#N/A,#N/A,FALSE,"PCOL"}</definedName>
    <definedName name="et" hidden="1">{"'teste'!$B$2:$R$49"}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{"'gráf jan00'!$A$1:$AK$41"}</definedName>
    <definedName name="fasdfasfdadsf" hidden="1">{"'gráf jan00'!$A$1:$AK$41"}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evereiro" hidden="1">{"'Quadro'!$A$4:$BG$78"}</definedName>
    <definedName name="ff" hidden="1">{"'gráf jan00'!$A$1:$AK$41"}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lResumoFlorestas" hidden="1">{"'REL CUSTODIF'!$B$1:$H$72"}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G" hidden="1">{"'gráf jan00'!$A$1:$AK$41"}</definedName>
    <definedName name="GAMAR" hidden="1">{"'CptDifn'!$AA$32:$AG$32"}</definedName>
    <definedName name="GAMAR1" hidden="1">{"'CptDifn'!$AA$32:$AG$32"}</definedName>
    <definedName name="gamen" hidden="1">{#N/A,#N/A,FALSE,"PCOL"}</definedName>
    <definedName name="GASEG" hidden="1">{"'Quadro'!$A$4:$BG$78"}</definedName>
    <definedName name="GAVTG" hidden="1">{"'gráf jan00'!$A$1:$AK$41"}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tggg" hidden="1">{#N/A,#N/A,FALSE,"DEF1";#N/A,#N/A,FALSE,"DEF2";#N/A,#N/A,FALSE,"DEF3"}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_CodePage" hidden="1">1252</definedName>
    <definedName name="HTML_Control" hidden="1">{"'teste'!$B$2:$R$49"}</definedName>
    <definedName name="HTML_Description" hidden="1">""</definedName>
    <definedName name="HTML_Email" hidden="1">"Gavaneb"</definedName>
    <definedName name="HTML_Header" hidden="1">""</definedName>
    <definedName name="HTML_LastUpdate" hidden="1">"07/07/1999"</definedName>
    <definedName name="HTML_LineAfter" hidden="1">FALSE</definedName>
    <definedName name="HTML_LineBefore" hidden="1">FALSE</definedName>
    <definedName name="HTML_Name" hidden="1">"Eduardo Sousa - R/5330"</definedName>
    <definedName name="HTML_OBDlg2" hidden="1">TRUE</definedName>
    <definedName name="HTML_OBDlg4" hidden="1">TRUE</definedName>
    <definedName name="HTML_OS" hidden="1">0</definedName>
    <definedName name="HTML_PathFile" hidden="1">"\\SUSSLSW1\gavan\relatorio\diário.htm"</definedName>
    <definedName name="HTML_Title" hidden="1">"Atendimento de Carga Geral e Trem de Passageiro"</definedName>
    <definedName name="HU" hidden="1">{"'gráf jan00'!$A$1:$AK$41"}</definedName>
    <definedName name="indice">[3]Plan1!$A$1:$A$21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j" hidden="1">{"'CptDifn'!$AA$32:$AG$32"}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hgjk" hidden="1">{"'gráf jan00'!$A$1:$AK$41"}</definedName>
    <definedName name="ko" hidden="1">{#N/A,#N/A,FALSE,"PCOL"}</definedName>
    <definedName name="let" hidden="1">"Quadro Logistico Maio"</definedName>
    <definedName name="luiz" hidden="1">{"'gráf jan00'!$A$1:$AK$41"}</definedName>
    <definedName name="MARIA" hidden="1">{"'gráf jan00'!$A$1:$AK$41"}</definedName>
    <definedName name="mercia" hidden="1">{"'REL CUSTODIF'!$B$1:$H$72"}</definedName>
    <definedName name="metasantigas" hidden="1">{"'gráf jan00'!$A$1:$AK$41"}</definedName>
    <definedName name="MMM" hidden="1">{"'gráf jan00'!$A$1:$AK$41"}</definedName>
    <definedName name="MOA" hidden="1">{#N/A,#N/A,FALSE,"DEF1";#N/A,#N/A,FALSE,"DEF2";#N/A,#N/A,FALSE,"DEF3"}</definedName>
    <definedName name="MODELO" hidden="1">{#N/A,#N/A,FALSE,"SITUAÇÃO DIÁRIA ";#N/A,#N/A,FALSE,"7 à 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egócio" hidden="1">{"'gráf jan00'!$A$1:$AK$41"}</definedName>
    <definedName name="o" hidden="1">{"'CptDifn'!$AA$32:$AG$32"}</definedName>
    <definedName name="OUTUBRO" hidden="1">{#N/A,#N/A,FALSE,"SITUAÇÃO DIÁRIA ";#N/A,#N/A,FALSE,"7 à 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DCA" hidden="1">{"'RR'!$A$2:$E$81"}</definedName>
    <definedName name="PPRA" hidden="1">{"'CptDifn'!$AA$32:$AG$32"}</definedName>
    <definedName name="Prog.Excel._Set" hidden="1">{"'teste'!$B$2:$R$49"}</definedName>
    <definedName name="proposta" hidden="1">{"'Quadro'!$A$4:$BG$78"}</definedName>
    <definedName name="PRRA" hidden="1">{"'CptDifn'!$AA$32:$AG$32"}</definedName>
    <definedName name="q" hidden="1">{"'CptDifn'!$AA$32:$AG$32"}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W" hidden="1">{#N/A,#N/A,TRUE,"K2 e MEIA";#N/A,#N/A,TRUE,"K3";#N/A,#N/A,TRUE,"K4";#N/A,#N/A,TRUE,"PERFIL U";#N/A,#N/A,TRUE,"BCHA"}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r" hidden="1">{"'CptDifn'!$AA$32:$AG$32"}</definedName>
    <definedName name="rrr" hidden="1">{#N/A,#N/A,FALSE,"PCOL"}</definedName>
    <definedName name="s" hidden="1">{"'CptDifn'!$AA$32:$AG$32"}</definedName>
    <definedName name="sac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ss" hidden="1">{"'CptDifn'!$AA$32:$AG$32"}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" hidden="1">{"'CptDifn'!$AA$32:$AG$32"}</definedName>
    <definedName name="TEMP" hidden="1">{#N/A,#N/A,FALSE,"PCOL"}</definedName>
    <definedName name="tempo" hidden="1">{#N/A,#N/A,FALSE,"PCOL"}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" hidden="1">{"'Quadro'!$A$4:$BG$78"}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pe">'[4]Maintenance Work Order'!#REF!</definedName>
    <definedName name="u" hidden="1">{"'CptDifn'!$AA$32:$AG$32"}</definedName>
    <definedName name="uoluyk" hidden="1">{#N/A,#N/A,TRUE,"indice";#N/A,#N/A,TRUE,"indicadores";#N/A,#N/A,TRUE,"comentarios"}</definedName>
    <definedName name="uu" hidden="1">{"'REL CUSTODIF'!$B$1:$H$72"}</definedName>
    <definedName name="v" hidden="1">{#N/A,#N/A,FALSE,"PCOL"}</definedName>
    <definedName name="Volume" hidden="1">{"'CptDifn'!$AA$32:$AG$32"}</definedName>
    <definedName name="vvv" hidden="1">{"'teste'!$B$2:$R$49"}</definedName>
    <definedName name="w" hidden="1">{#N/A,#N/A,FALSE,"PCOL"}</definedName>
    <definedName name="wadfaw" hidden="1">{#N/A,#N/A,TRUE,"indice";#N/A,#N/A,TRUE,"indicadores";#N/A,#N/A,TRUE,"comentarios"}</definedName>
    <definedName name="wrn.Aging._.and._.Trend._.Analysis." hidden="1">{#N/A,#N/A,FALSE,"Aging Summary";#N/A,#N/A,FALSE,"Ratio Analysis";#N/A,#N/A,FALSE,"Test 120 Day Accts";#N/A,#N/A,FALSE,"Tickmarks"}</definedName>
    <definedName name="wrn.comentario." hidden="1">{#N/A,#N/A,FALSE,"PCOL"}</definedName>
    <definedName name="wrn.def9806." hidden="1">{#N/A,#N/A,FALSE,"DEF1";#N/A,#N/A,FALSE,"DEF2";#N/A,#N/A,FALSE,"DEF3"}</definedName>
    <definedName name="wrn.estudo._.lamnv." hidden="1">{#N/A,#N/A,TRUE,"K2 e MEIA";#N/A,#N/A,TRUE,"K3";#N/A,#N/A,TRUE,"K4";#N/A,#N/A,TRUE,"PERFIL U";#N/A,#N/A,TRUE,"BCHA"}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ww" hidden="1">{"'teste'!$B$2:$R$49"}</definedName>
    <definedName name="x" hidden="1">{"'CptDifn'!$AA$32:$AG$32"}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yy" hidden="1">{"'REL CUSTODIF'!$B$1:$H$72"}</definedName>
    <definedName name="SegmentaçãodeDados_SETOR" localSheetId="0">#REF!</definedName>
    <definedName name="SegmentaçãodeDados_PRODUTO" localSheetId="0">#REF!</definedName>
    <definedName name="NativeTimeline_DATA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<sst xmlns="http://schemas.openxmlformats.org/spreadsheetml/2006/main" count="2980" uniqueCount="83">
  <si>
    <t>FEVEREIRO 2026</t>
  </si>
  <si>
    <t>Colaborador</t>
  </si>
  <si>
    <t>Setor</t>
  </si>
  <si>
    <t>P</t>
  </si>
  <si>
    <t>FE</t>
  </si>
  <si>
    <t>FI</t>
  </si>
  <si>
    <t>FJ</t>
  </si>
  <si>
    <t>ET</t>
  </si>
  <si>
    <t>SC</t>
  </si>
  <si>
    <t>Adenílson de Souza Ferraz</t>
  </si>
  <si>
    <t>Solda</t>
  </si>
  <si>
    <t>DSR</t>
  </si>
  <si>
    <t>Adriana Barbosa da Silva</t>
  </si>
  <si>
    <t>Betoneira</t>
  </si>
  <si>
    <t>Alceu Carlos Gomes</t>
  </si>
  <si>
    <t>Pintura</t>
  </si>
  <si>
    <t>Aldino Santiago</t>
  </si>
  <si>
    <t>Carro solda</t>
  </si>
  <si>
    <t>Alex Ribeiro de Souza</t>
  </si>
  <si>
    <t>Alexandre Mendonça dos Santos</t>
  </si>
  <si>
    <t>Alice Vitória Pim Gomes</t>
  </si>
  <si>
    <t>Célula robótica</t>
  </si>
  <si>
    <t>Antônio Alves Bearis</t>
  </si>
  <si>
    <t>Antônio Hidrolândio Santos</t>
  </si>
  <si>
    <t>Breno Feitosa Ferreira</t>
  </si>
  <si>
    <t>Carlos Alexandre Cassiano Ramo</t>
  </si>
  <si>
    <t>Davy de Jesus de Oliveira</t>
  </si>
  <si>
    <t>Douglas Santos Silva</t>
  </si>
  <si>
    <t>Edinaldo Furtado</t>
  </si>
  <si>
    <t>Eli Lauers</t>
  </si>
  <si>
    <t>Fabrício Costa Cordeiro</t>
  </si>
  <si>
    <t>Fernando Gonçalves</t>
  </si>
  <si>
    <t>Giovani Silva Vieira</t>
  </si>
  <si>
    <t>Halisson Frois Santana</t>
  </si>
  <si>
    <t>Henry Valery Huerta Sanchez</t>
  </si>
  <si>
    <t>Hudson Telis dos Santos Manea</t>
  </si>
  <si>
    <t>Ismael Pereira de Oliveira</t>
  </si>
  <si>
    <t>Jackson Pereira dos Santos</t>
  </si>
  <si>
    <t>Jadson Steven Barboza de Lazari</t>
  </si>
  <si>
    <t>João Manoel de Souza</t>
  </si>
  <si>
    <t>Jocarly Alvarenga Fraga</t>
  </si>
  <si>
    <t>Jorge Sales da Silva Filho</t>
  </si>
  <si>
    <t>José Adelson de Almeida</t>
  </si>
  <si>
    <t>Josemir Dalmásio</t>
  </si>
  <si>
    <t>Juraci Barbosa Ferreira</t>
  </si>
  <si>
    <t>Kelly dos Santos</t>
  </si>
  <si>
    <t>Leandro Silva Souza</t>
  </si>
  <si>
    <t>Supervisão</t>
  </si>
  <si>
    <t>Lillian Gabrielli Silva Soares</t>
  </si>
  <si>
    <t>Luciano de Souza Raimundo</t>
  </si>
  <si>
    <t>Luiz Ângelo da Silva</t>
  </si>
  <si>
    <t>Marcondes Santos de Souza</t>
  </si>
  <si>
    <t>Marcos Vinícius de O Silva Sel</t>
  </si>
  <si>
    <t>Maria Clara Negri Alves</t>
  </si>
  <si>
    <t>Robert Souza Santos</t>
  </si>
  <si>
    <t>Romildo Onofre Gonçalves</t>
  </si>
  <si>
    <t>Sandro Souza dos Santos</t>
  </si>
  <si>
    <t>Sebastião Felipe de Oliveira</t>
  </si>
  <si>
    <t>Sérgio Lafaiete Neves</t>
  </si>
  <si>
    <t>Talita Patrícia Diogo dos Santos</t>
  </si>
  <si>
    <t>Tiago Rodrigues</t>
  </si>
  <si>
    <t>Valdir Santo Chever</t>
  </si>
  <si>
    <t>Vinícius Frazão de Lira</t>
  </si>
  <si>
    <t>Wallace da Silva Rodrigues</t>
  </si>
  <si>
    <t>Wandra Kely Alves de Souza</t>
  </si>
  <si>
    <t>Warlem Pereira Gomes</t>
  </si>
  <si>
    <t>Wilson Fagner Silva da Conceição</t>
  </si>
  <si>
    <t>P - presente</t>
  </si>
  <si>
    <t>FI - falta injustificada</t>
  </si>
  <si>
    <t>FE - férias</t>
  </si>
  <si>
    <t>FJ - falta justificada</t>
  </si>
  <si>
    <t>DSR - descanso remunerado</t>
  </si>
  <si>
    <t>SC - saiu cedo</t>
  </si>
  <si>
    <t>ET - entrou tarde</t>
  </si>
  <si>
    <t>JANEIRO 2026</t>
  </si>
  <si>
    <t>% de presença</t>
  </si>
  <si>
    <t>% de ausência</t>
  </si>
  <si>
    <t>DEZEMBRO 2025</t>
  </si>
  <si>
    <t>FRD</t>
  </si>
  <si>
    <t>CO</t>
  </si>
  <si>
    <t>Jaqueline Correa Iansen</t>
  </si>
  <si>
    <t>Maria Aparecida da Silva Peres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</si>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</sst>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7860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Border="1" applyAlignme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2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0" fillId="3" borderId="0" xfId="0" applyFont="1" applyFill="1" applyAlignment="1">
      <alignment horizontal="right" vertical="center"/>
    </xf>
    <xf numFmtId="0" fontId="0" fillId="5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0" fontId="0" fillId="6" borderId="0" xfId="0" applyFont="1" applyFill="1" applyAlignment="1">
      <alignment horizontal="right" vertical="center"/>
    </xf>
    <xf numFmtId="9" fontId="5" fillId="0" borderId="1" xfId="3" applyFont="1" applyBorder="1" applyAlignment="1">
      <alignment horizontal="center" vertical="center"/>
    </xf>
    <xf numFmtId="9" fontId="5" fillId="0" borderId="1" xfId="3" applyNumberFormat="1" applyFont="1" applyBorder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8" borderId="0" xfId="0" applyNumberFormat="1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6" borderId="0" xfId="0" applyNumberFormat="1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0" xfId="0" applyFont="1" applyFill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5">
    <dxf>
      <font>
        <color theme="0" tint="-0.05"/>
      </font>
      <fill>
        <patternFill patternType="solid">
          <bgColor rgb="FF0070C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7" tint="0.4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0" tint="-0.15"/>
        </patternFill>
      </fill>
    </dxf>
    <dxf>
      <font>
        <color theme="1"/>
      </font>
      <fill>
        <patternFill patternType="solid">
          <bgColor rgb="FFF7860C"/>
        </patternFill>
      </fill>
    </dxf>
    <dxf>
      <fill>
        <patternFill patternType="solid">
          <bgColor rgb="FFF7860C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nte\PEX\Compartilhado\2014\Cat%2003%20-%20Gente\Book%20categoria%2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u%20Drive\Disclaimer-Smartsheet-Templates_Solution1-Tab5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Tabela1"/>
      <sheetName val="Principal"/>
      <sheetName val="TSP Est. El Hatillo"/>
      <sheetName val="estgg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GDP"/>
      <sheetName val="#REF"/>
      <sheetName val="invest."/>
      <sheetName val="Comparativo - Acumulado"/>
      <sheetName val="TE Negativo Setembro"/>
      <sheetName val="2007"/>
      <sheetName val="Premissas"/>
      <sheetName val="pitch"/>
      <sheetName val="bdados 2005"/>
      <sheetName val="Validacao"/>
      <sheetName val="Previsão de Vagões"/>
      <sheetName val="Espera"/>
      <sheetName val="Saldos"/>
      <sheetName val="Gráficos"/>
      <sheetName val="Armazéns"/>
      <sheetName val="Resumo"/>
      <sheetName val="Acionamento"/>
      <sheetName val="Estatística"/>
      <sheetName val="Conhecendo a composição M1"/>
      <sheetName val="Solicitação Gestão"/>
      <sheetName val="Inputs_Unidades_Geradoras"/>
      <sheetName val="inspect"/>
      <sheetName val="Aderência D707"/>
      <sheetName val="Cronograma"/>
      <sheetName val="Sheet2"/>
      <sheetName val="Dados"/>
      <sheetName val="PLANO DE AÇÃO"/>
      <sheetName val="ORTONA - PORTO VASTO"/>
      <sheetName val="GESEN FERROVIA CR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Gráfico Esteril"/>
      <sheetName val="Plan1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EXEC"/>
      <sheetName val="Dados"/>
      <sheetName val="Base "/>
      <sheetName val="Acionamento"/>
      <sheetName val="DBM Mensal"/>
      <sheetName val="DETALHADO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PLANO DE AÇÃO"/>
      <sheetName val="LC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umo"/>
      <sheetName val="3.1.A.1_2_3"/>
      <sheetName val="3.1.A.3_Train"/>
      <sheetName val="3.1.A.3"/>
      <sheetName val="3.1.B.2"/>
      <sheetName val="3.1.B.3"/>
      <sheetName val="3.2.A.1"/>
      <sheetName val="3.2.A.2"/>
      <sheetName val="3.1.B.1"/>
      <sheetName val="3.2.A.3"/>
      <sheetName val="3.2.A.2_Formulário"/>
      <sheetName val="3.2.A.2_Follow"/>
      <sheetName val="3.2.A.2_Resumo"/>
      <sheetName val="sql1"/>
      <sheetName val="3.2.A.4"/>
      <sheetName val="3.2.B.1"/>
      <sheetName val="3.3.A.2_3"/>
      <sheetName val="3.3.A.1"/>
      <sheetName val="3.4.A.1"/>
      <sheetName val="3.3.B.1"/>
      <sheetName val="desligados"/>
      <sheetName val="base_M@_WB"/>
      <sheetName val="Plan2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O195"/>
  <sheetViews>
    <sheetView tabSelected="1" zoomScale="55" zoomScaleNormal="55" topLeftCell="A99" workbookViewId="0">
      <pane xSplit="3" topLeftCell="D1" activePane="topRight" state="frozen"/>
      <selection/>
      <selection pane="topRight" activeCell="K159" sqref="K159"/>
    </sheetView>
  </sheetViews>
  <sheetFormatPr defaultColWidth="9.14285714285714" defaultRowHeight="15"/>
  <cols>
    <col min="1" max="1" width="0.838095238095238" style="3" customWidth="1"/>
    <col min="2" max="2" width="34.2857142857143" style="3" customWidth="1"/>
    <col min="3" max="3" width="18.9904761904762" style="4" customWidth="1"/>
    <col min="4" max="34" width="4.53333333333333" style="4" customWidth="1"/>
    <col min="35" max="35" width="1.33333333333333" style="3" customWidth="1"/>
    <col min="36" max="41" width="5.02857142857143" style="4" customWidth="1"/>
    <col min="42" max="16384" width="9.14285714285714" style="3"/>
  </cols>
  <sheetData>
    <row r="1" ht="15.75" hidden="1" spans="4:34"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idden="1" spans="2:41">
      <c r="B2" s="6" t="s">
        <v>1</v>
      </c>
      <c r="C2" s="7" t="s">
        <v>2</v>
      </c>
      <c r="D2" s="7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  <c r="K2" s="7">
        <v>8</v>
      </c>
      <c r="L2" s="7">
        <v>9</v>
      </c>
      <c r="M2" s="7">
        <v>10</v>
      </c>
      <c r="N2" s="7">
        <v>11</v>
      </c>
      <c r="O2" s="7">
        <v>12</v>
      </c>
      <c r="P2" s="7">
        <v>13</v>
      </c>
      <c r="Q2" s="7">
        <v>14</v>
      </c>
      <c r="R2" s="7">
        <v>15</v>
      </c>
      <c r="S2" s="7">
        <v>16</v>
      </c>
      <c r="T2" s="7">
        <v>17</v>
      </c>
      <c r="U2" s="7">
        <v>18</v>
      </c>
      <c r="V2" s="7">
        <v>19</v>
      </c>
      <c r="W2" s="7">
        <v>20</v>
      </c>
      <c r="X2" s="7">
        <v>21</v>
      </c>
      <c r="Y2" s="7">
        <v>22</v>
      </c>
      <c r="Z2" s="7">
        <v>23</v>
      </c>
      <c r="AA2" s="7">
        <v>24</v>
      </c>
      <c r="AB2" s="7">
        <v>25</v>
      </c>
      <c r="AC2" s="7">
        <v>26</v>
      </c>
      <c r="AD2" s="7">
        <v>27</v>
      </c>
      <c r="AE2" s="7">
        <v>28</v>
      </c>
      <c r="AF2" s="7">
        <v>29</v>
      </c>
      <c r="AG2" s="7">
        <v>30</v>
      </c>
      <c r="AH2" s="7">
        <v>31</v>
      </c>
      <c r="AJ2" s="18" t="s">
        <v>3</v>
      </c>
      <c r="AK2" s="19" t="s">
        <v>4</v>
      </c>
      <c r="AL2" s="20" t="s">
        <v>5</v>
      </c>
      <c r="AM2" s="21" t="s">
        <v>6</v>
      </c>
      <c r="AN2" s="22" t="s">
        <v>7</v>
      </c>
      <c r="AO2" s="22" t="s">
        <v>8</v>
      </c>
    </row>
    <row r="3" hidden="1" spans="2:41">
      <c r="B3" s="8" t="s">
        <v>9</v>
      </c>
      <c r="C3" s="8" t="s">
        <v>10</v>
      </c>
      <c r="D3" s="9" t="s">
        <v>4</v>
      </c>
      <c r="E3" s="9" t="s">
        <v>4</v>
      </c>
      <c r="F3" s="9" t="s">
        <v>4</v>
      </c>
      <c r="G3" s="9"/>
      <c r="H3" s="9"/>
      <c r="I3" s="9"/>
      <c r="J3" s="9" t="s">
        <v>11</v>
      </c>
      <c r="K3" s="9" t="s">
        <v>11</v>
      </c>
      <c r="L3" s="9"/>
      <c r="M3" s="9"/>
      <c r="N3" s="9"/>
      <c r="O3" s="9"/>
      <c r="P3" s="9"/>
      <c r="Q3" s="9" t="s">
        <v>11</v>
      </c>
      <c r="R3" s="9" t="s">
        <v>11</v>
      </c>
      <c r="S3" s="9"/>
      <c r="T3" s="9"/>
      <c r="U3" s="9"/>
      <c r="V3" s="9"/>
      <c r="W3" s="9"/>
      <c r="X3" s="9" t="s">
        <v>11</v>
      </c>
      <c r="Y3" s="9" t="s">
        <v>11</v>
      </c>
      <c r="Z3" s="9"/>
      <c r="AA3" s="9"/>
      <c r="AB3" s="9"/>
      <c r="AC3" s="9"/>
      <c r="AD3" s="9"/>
      <c r="AE3" s="9" t="s">
        <v>11</v>
      </c>
      <c r="AF3" s="9"/>
      <c r="AG3" s="9"/>
      <c r="AH3" s="9"/>
      <c r="AI3" s="1"/>
      <c r="AJ3" s="9">
        <f t="shared" ref="AJ3:AJ56" si="0">COUNTIF(D3:AH3,"P")</f>
        <v>0</v>
      </c>
      <c r="AK3" s="9">
        <f t="shared" ref="AK3:AK56" si="1">COUNTIF(D3:AH3,"FE")</f>
        <v>3</v>
      </c>
      <c r="AL3" s="9">
        <f t="shared" ref="AL3:AL56" si="2">COUNTIF(D3:AH3,"FI")</f>
        <v>0</v>
      </c>
      <c r="AM3" s="9">
        <f t="shared" ref="AM3:AM56" si="3">COUNTIF(D3:AH3,"FJ")</f>
        <v>0</v>
      </c>
      <c r="AN3" s="9">
        <f t="shared" ref="AN3:AN56" si="4">COUNTIF(D3:AH3,"ET")</f>
        <v>0</v>
      </c>
      <c r="AO3" s="9">
        <f t="shared" ref="AO3:AO56" si="5">COUNTIF(D3:AH3,"SC")</f>
        <v>0</v>
      </c>
    </row>
    <row r="4" hidden="1" spans="2:41">
      <c r="B4" s="8" t="s">
        <v>12</v>
      </c>
      <c r="C4" s="8" t="s">
        <v>13</v>
      </c>
      <c r="D4" s="9" t="s">
        <v>11</v>
      </c>
      <c r="E4" s="9"/>
      <c r="F4" s="9"/>
      <c r="G4" s="9"/>
      <c r="H4" s="9"/>
      <c r="I4" s="9"/>
      <c r="J4" s="9" t="s">
        <v>11</v>
      </c>
      <c r="K4" s="9" t="s">
        <v>11</v>
      </c>
      <c r="L4" s="9"/>
      <c r="M4" s="9"/>
      <c r="N4" s="9"/>
      <c r="O4" s="9"/>
      <c r="P4" s="9"/>
      <c r="Q4" s="9" t="s">
        <v>11</v>
      </c>
      <c r="R4" s="9" t="s">
        <v>11</v>
      </c>
      <c r="S4" s="9"/>
      <c r="T4" s="9"/>
      <c r="U4" s="9"/>
      <c r="V4" s="9"/>
      <c r="W4" s="9"/>
      <c r="X4" s="9" t="s">
        <v>11</v>
      </c>
      <c r="Y4" s="9" t="s">
        <v>11</v>
      </c>
      <c r="Z4" s="9"/>
      <c r="AA4" s="9"/>
      <c r="AB4" s="9"/>
      <c r="AC4" s="9"/>
      <c r="AD4" s="9"/>
      <c r="AE4" s="9" t="s">
        <v>11</v>
      </c>
      <c r="AF4" s="9"/>
      <c r="AG4" s="9"/>
      <c r="AH4" s="9"/>
      <c r="AI4" s="1"/>
      <c r="AJ4" s="9">
        <f t="shared" si="0"/>
        <v>0</v>
      </c>
      <c r="AK4" s="9">
        <f t="shared" si="1"/>
        <v>0</v>
      </c>
      <c r="AL4" s="9">
        <f t="shared" si="2"/>
        <v>0</v>
      </c>
      <c r="AM4" s="9">
        <f t="shared" si="3"/>
        <v>0</v>
      </c>
      <c r="AN4" s="9">
        <f t="shared" si="4"/>
        <v>0</v>
      </c>
      <c r="AO4" s="9">
        <f t="shared" si="5"/>
        <v>0</v>
      </c>
    </row>
    <row r="5" hidden="1" spans="2:41">
      <c r="B5" s="8" t="s">
        <v>14</v>
      </c>
      <c r="C5" s="8" t="s">
        <v>15</v>
      </c>
      <c r="D5" s="9" t="s">
        <v>11</v>
      </c>
      <c r="E5" s="9"/>
      <c r="F5" s="9"/>
      <c r="G5" s="9"/>
      <c r="H5" s="9"/>
      <c r="I5" s="9"/>
      <c r="J5" s="9" t="s">
        <v>11</v>
      </c>
      <c r="K5" s="9" t="s">
        <v>11</v>
      </c>
      <c r="L5" s="9"/>
      <c r="M5" s="9"/>
      <c r="N5" s="9"/>
      <c r="O5" s="9"/>
      <c r="P5" s="9"/>
      <c r="Q5" s="9" t="s">
        <v>11</v>
      </c>
      <c r="R5" s="9" t="s">
        <v>11</v>
      </c>
      <c r="S5" s="9"/>
      <c r="T5" s="9"/>
      <c r="U5" s="9"/>
      <c r="V5" s="9"/>
      <c r="W5" s="9"/>
      <c r="X5" s="9" t="s">
        <v>11</v>
      </c>
      <c r="Y5" s="9" t="s">
        <v>11</v>
      </c>
      <c r="Z5" s="9"/>
      <c r="AA5" s="9"/>
      <c r="AB5" s="9"/>
      <c r="AC5" s="9"/>
      <c r="AD5" s="9"/>
      <c r="AE5" s="9" t="s">
        <v>11</v>
      </c>
      <c r="AF5" s="9"/>
      <c r="AG5" s="9"/>
      <c r="AH5" s="9"/>
      <c r="AI5" s="1"/>
      <c r="AJ5" s="9">
        <f t="shared" si="0"/>
        <v>0</v>
      </c>
      <c r="AK5" s="9">
        <f t="shared" si="1"/>
        <v>0</v>
      </c>
      <c r="AL5" s="9">
        <f t="shared" si="2"/>
        <v>0</v>
      </c>
      <c r="AM5" s="9">
        <f t="shared" si="3"/>
        <v>0</v>
      </c>
      <c r="AN5" s="9">
        <f t="shared" si="4"/>
        <v>0</v>
      </c>
      <c r="AO5" s="9">
        <f t="shared" si="5"/>
        <v>0</v>
      </c>
    </row>
    <row r="6" hidden="1" spans="2:41">
      <c r="B6" s="8" t="s">
        <v>16</v>
      </c>
      <c r="C6" s="8" t="s">
        <v>17</v>
      </c>
      <c r="D6" s="9" t="s">
        <v>11</v>
      </c>
      <c r="E6" s="9"/>
      <c r="F6" s="9"/>
      <c r="G6" s="9"/>
      <c r="H6" s="9"/>
      <c r="I6" s="9"/>
      <c r="J6" s="9" t="s">
        <v>11</v>
      </c>
      <c r="K6" s="9" t="s">
        <v>11</v>
      </c>
      <c r="L6" s="9"/>
      <c r="M6" s="9"/>
      <c r="N6" s="9"/>
      <c r="O6" s="9"/>
      <c r="P6" s="9"/>
      <c r="Q6" s="9" t="s">
        <v>11</v>
      </c>
      <c r="R6" s="9" t="s">
        <v>11</v>
      </c>
      <c r="S6" s="9"/>
      <c r="T6" s="9"/>
      <c r="U6" s="9"/>
      <c r="V6" s="9"/>
      <c r="W6" s="9"/>
      <c r="X6" s="9" t="s">
        <v>11</v>
      </c>
      <c r="Y6" s="9" t="s">
        <v>11</v>
      </c>
      <c r="Z6" s="9"/>
      <c r="AA6" s="9"/>
      <c r="AB6" s="9"/>
      <c r="AC6" s="9"/>
      <c r="AD6" s="9"/>
      <c r="AE6" s="9" t="s">
        <v>11</v>
      </c>
      <c r="AF6" s="9"/>
      <c r="AG6" s="9"/>
      <c r="AH6" s="9"/>
      <c r="AI6" s="1"/>
      <c r="AJ6" s="9">
        <f t="shared" si="0"/>
        <v>0</v>
      </c>
      <c r="AK6" s="9">
        <f t="shared" si="1"/>
        <v>0</v>
      </c>
      <c r="AL6" s="9">
        <f t="shared" si="2"/>
        <v>0</v>
      </c>
      <c r="AM6" s="9">
        <f t="shared" si="3"/>
        <v>0</v>
      </c>
      <c r="AN6" s="9">
        <f t="shared" si="4"/>
        <v>0</v>
      </c>
      <c r="AO6" s="9">
        <f t="shared" si="5"/>
        <v>0</v>
      </c>
    </row>
    <row r="7" hidden="1" spans="2:41">
      <c r="B7" s="8" t="s">
        <v>18</v>
      </c>
      <c r="C7" s="8" t="s">
        <v>15</v>
      </c>
      <c r="D7" s="9" t="s">
        <v>11</v>
      </c>
      <c r="E7" s="9"/>
      <c r="F7" s="9"/>
      <c r="G7" s="9"/>
      <c r="H7" s="9"/>
      <c r="I7" s="9"/>
      <c r="J7" s="9" t="s">
        <v>11</v>
      </c>
      <c r="K7" s="9" t="s">
        <v>11</v>
      </c>
      <c r="L7" s="9"/>
      <c r="M7" s="9"/>
      <c r="N7" s="9"/>
      <c r="O7" s="9"/>
      <c r="P7" s="9"/>
      <c r="Q7" s="9" t="s">
        <v>11</v>
      </c>
      <c r="R7" s="9" t="s">
        <v>11</v>
      </c>
      <c r="S7" s="9"/>
      <c r="T7" s="9"/>
      <c r="U7" s="9"/>
      <c r="V7" s="9"/>
      <c r="W7" s="9"/>
      <c r="X7" s="9" t="s">
        <v>11</v>
      </c>
      <c r="Y7" s="9" t="s">
        <v>11</v>
      </c>
      <c r="Z7" s="9"/>
      <c r="AA7" s="9"/>
      <c r="AB7" s="9"/>
      <c r="AC7" s="9"/>
      <c r="AD7" s="9"/>
      <c r="AE7" s="9" t="s">
        <v>11</v>
      </c>
      <c r="AF7" s="9"/>
      <c r="AG7" s="9"/>
      <c r="AH7" s="9"/>
      <c r="AI7" s="1"/>
      <c r="AJ7" s="9">
        <f t="shared" si="0"/>
        <v>0</v>
      </c>
      <c r="AK7" s="9">
        <f t="shared" si="1"/>
        <v>0</v>
      </c>
      <c r="AL7" s="9">
        <f t="shared" si="2"/>
        <v>0</v>
      </c>
      <c r="AM7" s="9">
        <f t="shared" si="3"/>
        <v>0</v>
      </c>
      <c r="AN7" s="9">
        <f t="shared" si="4"/>
        <v>0</v>
      </c>
      <c r="AO7" s="9">
        <f t="shared" si="5"/>
        <v>0</v>
      </c>
    </row>
    <row r="8" hidden="1" spans="2:41">
      <c r="B8" s="8" t="s">
        <v>19</v>
      </c>
      <c r="C8" s="8" t="s">
        <v>15</v>
      </c>
      <c r="D8" s="9" t="s">
        <v>11</v>
      </c>
      <c r="E8" s="9"/>
      <c r="F8" s="9"/>
      <c r="G8" s="9"/>
      <c r="H8" s="9"/>
      <c r="I8" s="9"/>
      <c r="J8" s="9" t="s">
        <v>11</v>
      </c>
      <c r="K8" s="9" t="s">
        <v>11</v>
      </c>
      <c r="L8" s="9"/>
      <c r="M8" s="9"/>
      <c r="N8" s="9"/>
      <c r="O8" s="9"/>
      <c r="P8" s="9"/>
      <c r="Q8" s="9" t="s">
        <v>11</v>
      </c>
      <c r="R8" s="9" t="s">
        <v>11</v>
      </c>
      <c r="S8" s="9"/>
      <c r="T8" s="9"/>
      <c r="U8" s="9"/>
      <c r="V8" s="9"/>
      <c r="W8" s="9"/>
      <c r="X8" s="9" t="s">
        <v>11</v>
      </c>
      <c r="Y8" s="9" t="s">
        <v>11</v>
      </c>
      <c r="Z8" s="9"/>
      <c r="AA8" s="9"/>
      <c r="AB8" s="9"/>
      <c r="AC8" s="9"/>
      <c r="AD8" s="9"/>
      <c r="AE8" s="9" t="s">
        <v>11</v>
      </c>
      <c r="AF8" s="9"/>
      <c r="AG8" s="9"/>
      <c r="AH8" s="9"/>
      <c r="AI8" s="1"/>
      <c r="AJ8" s="9">
        <f t="shared" si="0"/>
        <v>0</v>
      </c>
      <c r="AK8" s="9">
        <f t="shared" si="1"/>
        <v>0</v>
      </c>
      <c r="AL8" s="9">
        <f t="shared" si="2"/>
        <v>0</v>
      </c>
      <c r="AM8" s="9">
        <f t="shared" si="3"/>
        <v>0</v>
      </c>
      <c r="AN8" s="9">
        <f t="shared" si="4"/>
        <v>0</v>
      </c>
      <c r="AO8" s="9">
        <f t="shared" si="5"/>
        <v>0</v>
      </c>
    </row>
    <row r="9" hidden="1" spans="2:41">
      <c r="B9" s="8" t="s">
        <v>20</v>
      </c>
      <c r="C9" s="8" t="s">
        <v>21</v>
      </c>
      <c r="D9" s="9" t="s">
        <v>11</v>
      </c>
      <c r="E9" s="9"/>
      <c r="F9" s="9"/>
      <c r="G9" s="9"/>
      <c r="H9" s="9"/>
      <c r="I9" s="9"/>
      <c r="J9" s="9" t="s">
        <v>11</v>
      </c>
      <c r="K9" s="9" t="s">
        <v>11</v>
      </c>
      <c r="L9" s="9"/>
      <c r="M9" s="9"/>
      <c r="N9" s="9"/>
      <c r="O9" s="9"/>
      <c r="P9" s="9"/>
      <c r="Q9" s="9" t="s">
        <v>11</v>
      </c>
      <c r="R9" s="9" t="s">
        <v>11</v>
      </c>
      <c r="S9" s="9"/>
      <c r="T9" s="9"/>
      <c r="U9" s="9"/>
      <c r="V9" s="9"/>
      <c r="W9" s="9"/>
      <c r="X9" s="9" t="s">
        <v>11</v>
      </c>
      <c r="Y9" s="9" t="s">
        <v>11</v>
      </c>
      <c r="Z9" s="9"/>
      <c r="AA9" s="9"/>
      <c r="AB9" s="9"/>
      <c r="AC9" s="9"/>
      <c r="AD9" s="9"/>
      <c r="AE9" s="9" t="s">
        <v>11</v>
      </c>
      <c r="AF9" s="9"/>
      <c r="AG9" s="9"/>
      <c r="AH9" s="9"/>
      <c r="AI9" s="1"/>
      <c r="AJ9" s="9">
        <f t="shared" si="0"/>
        <v>0</v>
      </c>
      <c r="AK9" s="9">
        <f t="shared" si="1"/>
        <v>0</v>
      </c>
      <c r="AL9" s="9">
        <f t="shared" si="2"/>
        <v>0</v>
      </c>
      <c r="AM9" s="9">
        <f t="shared" si="3"/>
        <v>0</v>
      </c>
      <c r="AN9" s="9">
        <f t="shared" si="4"/>
        <v>0</v>
      </c>
      <c r="AO9" s="9">
        <f t="shared" si="5"/>
        <v>0</v>
      </c>
    </row>
    <row r="10" hidden="1" spans="2:41">
      <c r="B10" s="8" t="s">
        <v>22</v>
      </c>
      <c r="C10" s="8" t="s">
        <v>15</v>
      </c>
      <c r="D10" s="9" t="s">
        <v>11</v>
      </c>
      <c r="E10" s="9"/>
      <c r="F10" s="9"/>
      <c r="G10" s="9"/>
      <c r="H10" s="9"/>
      <c r="I10" s="9"/>
      <c r="J10" s="9" t="s">
        <v>11</v>
      </c>
      <c r="K10" s="9" t="s">
        <v>11</v>
      </c>
      <c r="L10" s="9"/>
      <c r="M10" s="9"/>
      <c r="N10" s="9"/>
      <c r="O10" s="9"/>
      <c r="P10" s="9"/>
      <c r="Q10" s="9" t="s">
        <v>11</v>
      </c>
      <c r="R10" s="9" t="s">
        <v>11</v>
      </c>
      <c r="S10" s="9"/>
      <c r="T10" s="9"/>
      <c r="U10" s="9"/>
      <c r="V10" s="9"/>
      <c r="W10" s="9"/>
      <c r="X10" s="9" t="s">
        <v>11</v>
      </c>
      <c r="Y10" s="9" t="s">
        <v>11</v>
      </c>
      <c r="Z10" s="9"/>
      <c r="AA10" s="9"/>
      <c r="AB10" s="9"/>
      <c r="AC10" s="9"/>
      <c r="AD10" s="9"/>
      <c r="AE10" s="9" t="s">
        <v>11</v>
      </c>
      <c r="AF10" s="9"/>
      <c r="AG10" s="9"/>
      <c r="AH10" s="9"/>
      <c r="AI10" s="1"/>
      <c r="AJ10" s="9">
        <f t="shared" si="0"/>
        <v>0</v>
      </c>
      <c r="AK10" s="9">
        <f t="shared" si="1"/>
        <v>0</v>
      </c>
      <c r="AL10" s="9">
        <f t="shared" si="2"/>
        <v>0</v>
      </c>
      <c r="AM10" s="9">
        <f t="shared" si="3"/>
        <v>0</v>
      </c>
      <c r="AN10" s="9">
        <f t="shared" si="4"/>
        <v>0</v>
      </c>
      <c r="AO10" s="9">
        <f t="shared" si="5"/>
        <v>0</v>
      </c>
    </row>
    <row r="11" hidden="1" spans="2:41">
      <c r="B11" s="8" t="s">
        <v>23</v>
      </c>
      <c r="C11" s="8" t="s">
        <v>13</v>
      </c>
      <c r="D11" s="9" t="s">
        <v>11</v>
      </c>
      <c r="E11" s="9"/>
      <c r="F11" s="9"/>
      <c r="G11" s="9"/>
      <c r="H11" s="9"/>
      <c r="I11" s="9"/>
      <c r="J11" s="9" t="s">
        <v>11</v>
      </c>
      <c r="K11" s="9" t="s">
        <v>11</v>
      </c>
      <c r="L11" s="9"/>
      <c r="M11" s="9"/>
      <c r="N11" s="9"/>
      <c r="O11" s="9"/>
      <c r="P11" s="9"/>
      <c r="Q11" s="9" t="s">
        <v>11</v>
      </c>
      <c r="R11" s="9" t="s">
        <v>11</v>
      </c>
      <c r="S11" s="9"/>
      <c r="T11" s="9"/>
      <c r="U11" s="9"/>
      <c r="V11" s="9"/>
      <c r="W11" s="9"/>
      <c r="X11" s="9" t="s">
        <v>11</v>
      </c>
      <c r="Y11" s="9" t="s">
        <v>11</v>
      </c>
      <c r="Z11" s="9"/>
      <c r="AA11" s="9"/>
      <c r="AB11" s="9"/>
      <c r="AC11" s="9"/>
      <c r="AD11" s="9"/>
      <c r="AE11" s="9" t="s">
        <v>11</v>
      </c>
      <c r="AF11" s="9"/>
      <c r="AG11" s="9"/>
      <c r="AH11" s="9"/>
      <c r="AI11" s="1"/>
      <c r="AJ11" s="9">
        <f t="shared" si="0"/>
        <v>0</v>
      </c>
      <c r="AK11" s="9">
        <f t="shared" si="1"/>
        <v>0</v>
      </c>
      <c r="AL11" s="9">
        <f t="shared" si="2"/>
        <v>0</v>
      </c>
      <c r="AM11" s="9">
        <f t="shared" si="3"/>
        <v>0</v>
      </c>
      <c r="AN11" s="9">
        <f t="shared" si="4"/>
        <v>0</v>
      </c>
      <c r="AO11" s="9">
        <f t="shared" si="5"/>
        <v>0</v>
      </c>
    </row>
    <row r="12" hidden="1" spans="2:41">
      <c r="B12" s="8" t="s">
        <v>24</v>
      </c>
      <c r="C12" s="8" t="s">
        <v>13</v>
      </c>
      <c r="D12" s="9" t="s">
        <v>11</v>
      </c>
      <c r="E12" s="9"/>
      <c r="F12" s="9"/>
      <c r="G12" s="9"/>
      <c r="H12" s="9"/>
      <c r="I12" s="9"/>
      <c r="J12" s="9" t="s">
        <v>11</v>
      </c>
      <c r="K12" s="9" t="s">
        <v>11</v>
      </c>
      <c r="L12" s="9"/>
      <c r="M12" s="9"/>
      <c r="N12" s="9"/>
      <c r="O12" s="9"/>
      <c r="P12" s="9"/>
      <c r="Q12" s="9" t="s">
        <v>11</v>
      </c>
      <c r="R12" s="9" t="s">
        <v>11</v>
      </c>
      <c r="S12" s="9"/>
      <c r="T12" s="9"/>
      <c r="U12" s="9"/>
      <c r="V12" s="9"/>
      <c r="W12" s="9"/>
      <c r="X12" s="9" t="s">
        <v>11</v>
      </c>
      <c r="Y12" s="9" t="s">
        <v>11</v>
      </c>
      <c r="Z12" s="9"/>
      <c r="AA12" s="9"/>
      <c r="AB12" s="9"/>
      <c r="AC12" s="9"/>
      <c r="AD12" s="9"/>
      <c r="AE12" s="9" t="s">
        <v>11</v>
      </c>
      <c r="AF12" s="9"/>
      <c r="AG12" s="9"/>
      <c r="AH12" s="9"/>
      <c r="AI12" s="1"/>
      <c r="AJ12" s="9">
        <f t="shared" si="0"/>
        <v>0</v>
      </c>
      <c r="AK12" s="9">
        <f t="shared" si="1"/>
        <v>0</v>
      </c>
      <c r="AL12" s="9">
        <f t="shared" si="2"/>
        <v>0</v>
      </c>
      <c r="AM12" s="9">
        <f t="shared" si="3"/>
        <v>0</v>
      </c>
      <c r="AN12" s="9">
        <f t="shared" si="4"/>
        <v>0</v>
      </c>
      <c r="AO12" s="9">
        <f t="shared" si="5"/>
        <v>0</v>
      </c>
    </row>
    <row r="13" hidden="1" spans="2:41">
      <c r="B13" s="8" t="s">
        <v>25</v>
      </c>
      <c r="C13" s="8" t="s">
        <v>13</v>
      </c>
      <c r="D13" s="9" t="s">
        <v>11</v>
      </c>
      <c r="E13" s="9"/>
      <c r="F13" s="9"/>
      <c r="G13" s="9"/>
      <c r="H13" s="9"/>
      <c r="I13" s="9"/>
      <c r="J13" s="9" t="s">
        <v>11</v>
      </c>
      <c r="K13" s="9" t="s">
        <v>11</v>
      </c>
      <c r="L13" s="9"/>
      <c r="M13" s="9"/>
      <c r="N13" s="9"/>
      <c r="O13" s="9"/>
      <c r="P13" s="9"/>
      <c r="Q13" s="9" t="s">
        <v>11</v>
      </c>
      <c r="R13" s="9" t="s">
        <v>11</v>
      </c>
      <c r="S13" s="9"/>
      <c r="T13" s="9"/>
      <c r="U13" s="9"/>
      <c r="V13" s="9"/>
      <c r="W13" s="9"/>
      <c r="X13" s="9" t="s">
        <v>11</v>
      </c>
      <c r="Y13" s="9" t="s">
        <v>11</v>
      </c>
      <c r="Z13" s="9"/>
      <c r="AA13" s="9"/>
      <c r="AB13" s="9"/>
      <c r="AC13" s="9"/>
      <c r="AD13" s="9"/>
      <c r="AE13" s="9" t="s">
        <v>11</v>
      </c>
      <c r="AF13" s="9"/>
      <c r="AG13" s="9"/>
      <c r="AH13" s="9"/>
      <c r="AI13" s="1"/>
      <c r="AJ13" s="9">
        <f t="shared" si="0"/>
        <v>0</v>
      </c>
      <c r="AK13" s="9">
        <f t="shared" si="1"/>
        <v>0</v>
      </c>
      <c r="AL13" s="9">
        <f t="shared" si="2"/>
        <v>0</v>
      </c>
      <c r="AM13" s="9">
        <f t="shared" si="3"/>
        <v>0</v>
      </c>
      <c r="AN13" s="9">
        <f t="shared" si="4"/>
        <v>0</v>
      </c>
      <c r="AO13" s="9">
        <f t="shared" si="5"/>
        <v>0</v>
      </c>
    </row>
    <row r="14" hidden="1" spans="2:41">
      <c r="B14" s="8" t="s">
        <v>26</v>
      </c>
      <c r="C14" s="8" t="s">
        <v>17</v>
      </c>
      <c r="D14" s="9" t="s">
        <v>11</v>
      </c>
      <c r="E14" s="9"/>
      <c r="F14" s="9"/>
      <c r="G14" s="9"/>
      <c r="H14" s="9"/>
      <c r="I14" s="9"/>
      <c r="J14" s="9" t="s">
        <v>11</v>
      </c>
      <c r="K14" s="9" t="s">
        <v>11</v>
      </c>
      <c r="L14" s="9"/>
      <c r="M14" s="9"/>
      <c r="N14" s="9"/>
      <c r="O14" s="9"/>
      <c r="P14" s="9"/>
      <c r="Q14" s="9" t="s">
        <v>11</v>
      </c>
      <c r="R14" s="9" t="s">
        <v>11</v>
      </c>
      <c r="S14" s="9"/>
      <c r="T14" s="9"/>
      <c r="U14" s="9"/>
      <c r="V14" s="9"/>
      <c r="W14" s="9"/>
      <c r="X14" s="9" t="s">
        <v>11</v>
      </c>
      <c r="Y14" s="9" t="s">
        <v>11</v>
      </c>
      <c r="Z14" s="9"/>
      <c r="AA14" s="9"/>
      <c r="AB14" s="9"/>
      <c r="AC14" s="9"/>
      <c r="AD14" s="9"/>
      <c r="AE14" s="9" t="s">
        <v>11</v>
      </c>
      <c r="AF14" s="9"/>
      <c r="AG14" s="9"/>
      <c r="AH14" s="9"/>
      <c r="AI14" s="1"/>
      <c r="AJ14" s="9">
        <f t="shared" si="0"/>
        <v>0</v>
      </c>
      <c r="AK14" s="9">
        <f t="shared" si="1"/>
        <v>0</v>
      </c>
      <c r="AL14" s="9">
        <f t="shared" si="2"/>
        <v>0</v>
      </c>
      <c r="AM14" s="9">
        <f t="shared" si="3"/>
        <v>0</v>
      </c>
      <c r="AN14" s="9">
        <f t="shared" si="4"/>
        <v>0</v>
      </c>
      <c r="AO14" s="9">
        <f t="shared" si="5"/>
        <v>0</v>
      </c>
    </row>
    <row r="15" hidden="1" spans="2:41">
      <c r="B15" s="8" t="s">
        <v>27</v>
      </c>
      <c r="C15" s="8" t="s">
        <v>10</v>
      </c>
      <c r="D15" s="9" t="s">
        <v>11</v>
      </c>
      <c r="E15" s="9"/>
      <c r="F15" s="9"/>
      <c r="G15" s="9"/>
      <c r="H15" s="9"/>
      <c r="I15" s="9"/>
      <c r="J15" s="9" t="s">
        <v>11</v>
      </c>
      <c r="K15" s="9" t="s">
        <v>11</v>
      </c>
      <c r="L15" s="9"/>
      <c r="M15" s="9"/>
      <c r="N15" s="9"/>
      <c r="O15" s="9"/>
      <c r="P15" s="9"/>
      <c r="Q15" s="9" t="s">
        <v>11</v>
      </c>
      <c r="R15" s="9" t="s">
        <v>11</v>
      </c>
      <c r="S15" s="9"/>
      <c r="T15" s="9"/>
      <c r="U15" s="9"/>
      <c r="V15" s="9"/>
      <c r="W15" s="9"/>
      <c r="X15" s="9" t="s">
        <v>11</v>
      </c>
      <c r="Y15" s="9" t="s">
        <v>11</v>
      </c>
      <c r="Z15" s="9"/>
      <c r="AA15" s="9"/>
      <c r="AB15" s="9"/>
      <c r="AC15" s="9"/>
      <c r="AD15" s="9"/>
      <c r="AE15" s="9" t="s">
        <v>11</v>
      </c>
      <c r="AF15" s="9"/>
      <c r="AG15" s="9"/>
      <c r="AH15" s="9"/>
      <c r="AI15" s="1"/>
      <c r="AJ15" s="9">
        <f t="shared" si="0"/>
        <v>0</v>
      </c>
      <c r="AK15" s="9">
        <f t="shared" si="1"/>
        <v>0</v>
      </c>
      <c r="AL15" s="9">
        <f t="shared" si="2"/>
        <v>0</v>
      </c>
      <c r="AM15" s="9">
        <f t="shared" si="3"/>
        <v>0</v>
      </c>
      <c r="AN15" s="9">
        <f t="shared" si="4"/>
        <v>0</v>
      </c>
      <c r="AO15" s="9">
        <f t="shared" si="5"/>
        <v>0</v>
      </c>
    </row>
    <row r="16" hidden="1" spans="2:41">
      <c r="B16" s="8" t="s">
        <v>28</v>
      </c>
      <c r="C16" s="8" t="s">
        <v>13</v>
      </c>
      <c r="D16" s="9" t="s">
        <v>11</v>
      </c>
      <c r="E16" s="9"/>
      <c r="F16" s="9"/>
      <c r="G16" s="9"/>
      <c r="H16" s="9"/>
      <c r="I16" s="9"/>
      <c r="J16" s="9" t="s">
        <v>11</v>
      </c>
      <c r="K16" s="9" t="s">
        <v>11</v>
      </c>
      <c r="L16" s="9"/>
      <c r="M16" s="9"/>
      <c r="N16" s="9"/>
      <c r="O16" s="9"/>
      <c r="P16" s="9"/>
      <c r="Q16" s="9" t="s">
        <v>11</v>
      </c>
      <c r="R16" s="9" t="s">
        <v>11</v>
      </c>
      <c r="S16" s="9"/>
      <c r="T16" s="9"/>
      <c r="U16" s="9"/>
      <c r="V16" s="9"/>
      <c r="W16" s="9"/>
      <c r="X16" s="9" t="s">
        <v>11</v>
      </c>
      <c r="Y16" s="9" t="s">
        <v>11</v>
      </c>
      <c r="Z16" s="9"/>
      <c r="AA16" s="9"/>
      <c r="AB16" s="9"/>
      <c r="AC16" s="9"/>
      <c r="AD16" s="9"/>
      <c r="AE16" s="9" t="s">
        <v>11</v>
      </c>
      <c r="AF16" s="9"/>
      <c r="AG16" s="9"/>
      <c r="AH16" s="9"/>
      <c r="AI16" s="1"/>
      <c r="AJ16" s="9">
        <f t="shared" si="0"/>
        <v>0</v>
      </c>
      <c r="AK16" s="9">
        <f t="shared" si="1"/>
        <v>0</v>
      </c>
      <c r="AL16" s="9">
        <f t="shared" si="2"/>
        <v>0</v>
      </c>
      <c r="AM16" s="9">
        <f t="shared" si="3"/>
        <v>0</v>
      </c>
      <c r="AN16" s="9">
        <f t="shared" si="4"/>
        <v>0</v>
      </c>
      <c r="AO16" s="9">
        <f t="shared" si="5"/>
        <v>0</v>
      </c>
    </row>
    <row r="17" hidden="1" spans="2:41">
      <c r="B17" s="8" t="s">
        <v>29</v>
      </c>
      <c r="C17" s="8" t="s">
        <v>17</v>
      </c>
      <c r="D17" s="9" t="s">
        <v>11</v>
      </c>
      <c r="E17" s="9"/>
      <c r="F17" s="9"/>
      <c r="G17" s="9"/>
      <c r="H17" s="9"/>
      <c r="I17" s="9"/>
      <c r="J17" s="9" t="s">
        <v>11</v>
      </c>
      <c r="K17" s="9" t="s">
        <v>11</v>
      </c>
      <c r="L17" s="9"/>
      <c r="M17" s="9"/>
      <c r="N17" s="9"/>
      <c r="O17" s="9"/>
      <c r="P17" s="9"/>
      <c r="Q17" s="9" t="s">
        <v>11</v>
      </c>
      <c r="R17" s="9" t="s">
        <v>11</v>
      </c>
      <c r="S17" s="9"/>
      <c r="T17" s="9"/>
      <c r="U17" s="9"/>
      <c r="V17" s="9"/>
      <c r="W17" s="9"/>
      <c r="X17" s="9" t="s">
        <v>11</v>
      </c>
      <c r="Y17" s="9" t="s">
        <v>11</v>
      </c>
      <c r="Z17" s="9"/>
      <c r="AA17" s="9"/>
      <c r="AB17" s="9"/>
      <c r="AC17" s="9"/>
      <c r="AD17" s="9"/>
      <c r="AE17" s="9" t="s">
        <v>11</v>
      </c>
      <c r="AF17" s="9"/>
      <c r="AG17" s="9"/>
      <c r="AH17" s="9"/>
      <c r="AI17" s="1"/>
      <c r="AJ17" s="9">
        <f t="shared" si="0"/>
        <v>0</v>
      </c>
      <c r="AK17" s="9">
        <f t="shared" si="1"/>
        <v>0</v>
      </c>
      <c r="AL17" s="9">
        <f t="shared" si="2"/>
        <v>0</v>
      </c>
      <c r="AM17" s="9">
        <f t="shared" si="3"/>
        <v>0</v>
      </c>
      <c r="AN17" s="9">
        <f t="shared" si="4"/>
        <v>0</v>
      </c>
      <c r="AO17" s="9">
        <f t="shared" si="5"/>
        <v>0</v>
      </c>
    </row>
    <row r="18" hidden="1" spans="2:41">
      <c r="B18" s="8" t="s">
        <v>30</v>
      </c>
      <c r="C18" s="8" t="s">
        <v>13</v>
      </c>
      <c r="D18" s="9" t="s">
        <v>11</v>
      </c>
      <c r="E18" s="9"/>
      <c r="F18" s="9"/>
      <c r="G18" s="9"/>
      <c r="H18" s="9"/>
      <c r="I18" s="9"/>
      <c r="J18" s="9" t="s">
        <v>11</v>
      </c>
      <c r="K18" s="9" t="s">
        <v>11</v>
      </c>
      <c r="L18" s="9"/>
      <c r="M18" s="9"/>
      <c r="N18" s="9"/>
      <c r="O18" s="9"/>
      <c r="P18" s="9"/>
      <c r="Q18" s="9" t="s">
        <v>11</v>
      </c>
      <c r="R18" s="9" t="s">
        <v>11</v>
      </c>
      <c r="S18" s="9"/>
      <c r="T18" s="9"/>
      <c r="U18" s="9"/>
      <c r="V18" s="9"/>
      <c r="W18" s="9"/>
      <c r="X18" s="9" t="s">
        <v>11</v>
      </c>
      <c r="Y18" s="9" t="s">
        <v>11</v>
      </c>
      <c r="Z18" s="9"/>
      <c r="AA18" s="9"/>
      <c r="AB18" s="9"/>
      <c r="AC18" s="9"/>
      <c r="AD18" s="9"/>
      <c r="AE18" s="9" t="s">
        <v>11</v>
      </c>
      <c r="AF18" s="9"/>
      <c r="AG18" s="9"/>
      <c r="AH18" s="9"/>
      <c r="AI18" s="1"/>
      <c r="AJ18" s="9">
        <f t="shared" si="0"/>
        <v>0</v>
      </c>
      <c r="AK18" s="9">
        <f t="shared" si="1"/>
        <v>0</v>
      </c>
      <c r="AL18" s="9">
        <f t="shared" si="2"/>
        <v>0</v>
      </c>
      <c r="AM18" s="9">
        <f t="shared" si="3"/>
        <v>0</v>
      </c>
      <c r="AN18" s="9">
        <f t="shared" si="4"/>
        <v>0</v>
      </c>
      <c r="AO18" s="9">
        <f t="shared" si="5"/>
        <v>0</v>
      </c>
    </row>
    <row r="19" hidden="1" spans="2:41">
      <c r="B19" s="8" t="s">
        <v>31</v>
      </c>
      <c r="C19" s="8" t="s">
        <v>10</v>
      </c>
      <c r="D19" s="9" t="s">
        <v>11</v>
      </c>
      <c r="E19" s="9"/>
      <c r="F19" s="9"/>
      <c r="G19" s="9"/>
      <c r="H19" s="9"/>
      <c r="I19" s="9"/>
      <c r="J19" s="9" t="s">
        <v>11</v>
      </c>
      <c r="K19" s="9" t="s">
        <v>11</v>
      </c>
      <c r="L19" s="9"/>
      <c r="M19" s="9"/>
      <c r="N19" s="9"/>
      <c r="O19" s="9"/>
      <c r="P19" s="9"/>
      <c r="Q19" s="9" t="s">
        <v>11</v>
      </c>
      <c r="R19" s="9" t="s">
        <v>11</v>
      </c>
      <c r="S19" s="9"/>
      <c r="T19" s="9"/>
      <c r="U19" s="9"/>
      <c r="V19" s="9"/>
      <c r="W19" s="9"/>
      <c r="X19" s="9" t="s">
        <v>11</v>
      </c>
      <c r="Y19" s="9" t="s">
        <v>11</v>
      </c>
      <c r="Z19" s="9"/>
      <c r="AA19" s="9"/>
      <c r="AB19" s="9"/>
      <c r="AC19" s="9"/>
      <c r="AD19" s="9"/>
      <c r="AE19" s="9" t="s">
        <v>11</v>
      </c>
      <c r="AF19" s="9"/>
      <c r="AG19" s="9"/>
      <c r="AH19" s="9"/>
      <c r="AI19" s="1"/>
      <c r="AJ19" s="9">
        <f t="shared" si="0"/>
        <v>0</v>
      </c>
      <c r="AK19" s="9">
        <f t="shared" si="1"/>
        <v>0</v>
      </c>
      <c r="AL19" s="9">
        <f t="shared" si="2"/>
        <v>0</v>
      </c>
      <c r="AM19" s="9">
        <f t="shared" si="3"/>
        <v>0</v>
      </c>
      <c r="AN19" s="9">
        <f t="shared" si="4"/>
        <v>0</v>
      </c>
      <c r="AO19" s="9">
        <f t="shared" si="5"/>
        <v>0</v>
      </c>
    </row>
    <row r="20" hidden="1" spans="2:41">
      <c r="B20" s="8" t="s">
        <v>32</v>
      </c>
      <c r="C20" s="8" t="s">
        <v>10</v>
      </c>
      <c r="D20" s="9" t="s">
        <v>11</v>
      </c>
      <c r="E20" s="9"/>
      <c r="F20" s="9"/>
      <c r="G20" s="9"/>
      <c r="H20" s="9"/>
      <c r="I20" s="9"/>
      <c r="J20" s="9" t="s">
        <v>11</v>
      </c>
      <c r="K20" s="9" t="s">
        <v>11</v>
      </c>
      <c r="L20" s="9"/>
      <c r="M20" s="9"/>
      <c r="N20" s="9"/>
      <c r="O20" s="9"/>
      <c r="P20" s="9"/>
      <c r="Q20" s="9" t="s">
        <v>11</v>
      </c>
      <c r="R20" s="9" t="s">
        <v>11</v>
      </c>
      <c r="S20" s="9"/>
      <c r="T20" s="9"/>
      <c r="U20" s="9"/>
      <c r="V20" s="9"/>
      <c r="W20" s="9"/>
      <c r="X20" s="9" t="s">
        <v>11</v>
      </c>
      <c r="Y20" s="9" t="s">
        <v>11</v>
      </c>
      <c r="Z20" s="9"/>
      <c r="AA20" s="9"/>
      <c r="AB20" s="9"/>
      <c r="AC20" s="9"/>
      <c r="AD20" s="9"/>
      <c r="AE20" s="9" t="s">
        <v>11</v>
      </c>
      <c r="AF20" s="9"/>
      <c r="AG20" s="9"/>
      <c r="AH20" s="9"/>
      <c r="AI20" s="15"/>
      <c r="AJ20" s="9">
        <f t="shared" si="0"/>
        <v>0</v>
      </c>
      <c r="AK20" s="9">
        <f t="shared" si="1"/>
        <v>0</v>
      </c>
      <c r="AL20" s="9">
        <f t="shared" si="2"/>
        <v>0</v>
      </c>
      <c r="AM20" s="9">
        <f t="shared" si="3"/>
        <v>0</v>
      </c>
      <c r="AN20" s="9">
        <f t="shared" si="4"/>
        <v>0</v>
      </c>
      <c r="AO20" s="9">
        <f t="shared" si="5"/>
        <v>0</v>
      </c>
    </row>
    <row r="21" hidden="1" spans="2:41">
      <c r="B21" s="8" t="s">
        <v>33</v>
      </c>
      <c r="C21" s="8" t="s">
        <v>13</v>
      </c>
      <c r="D21" s="9" t="s">
        <v>11</v>
      </c>
      <c r="E21" s="9"/>
      <c r="F21" s="9"/>
      <c r="G21" s="9"/>
      <c r="H21" s="9"/>
      <c r="I21" s="9"/>
      <c r="J21" s="9" t="s">
        <v>11</v>
      </c>
      <c r="K21" s="9" t="s">
        <v>11</v>
      </c>
      <c r="L21" s="9"/>
      <c r="M21" s="9"/>
      <c r="N21" s="9"/>
      <c r="O21" s="9"/>
      <c r="P21" s="9"/>
      <c r="Q21" s="9" t="s">
        <v>11</v>
      </c>
      <c r="R21" s="9" t="s">
        <v>11</v>
      </c>
      <c r="S21" s="9"/>
      <c r="T21" s="9"/>
      <c r="U21" s="9"/>
      <c r="V21" s="9"/>
      <c r="W21" s="9"/>
      <c r="X21" s="9" t="s">
        <v>11</v>
      </c>
      <c r="Y21" s="9" t="s">
        <v>11</v>
      </c>
      <c r="Z21" s="9"/>
      <c r="AA21" s="9"/>
      <c r="AB21" s="9"/>
      <c r="AC21" s="9"/>
      <c r="AD21" s="9"/>
      <c r="AE21" s="9" t="s">
        <v>11</v>
      </c>
      <c r="AF21" s="9"/>
      <c r="AG21" s="9"/>
      <c r="AH21" s="9"/>
      <c r="AI21" s="1"/>
      <c r="AJ21" s="9">
        <f t="shared" si="0"/>
        <v>0</v>
      </c>
      <c r="AK21" s="9">
        <f t="shared" si="1"/>
        <v>0</v>
      </c>
      <c r="AL21" s="9">
        <f t="shared" si="2"/>
        <v>0</v>
      </c>
      <c r="AM21" s="9">
        <f t="shared" si="3"/>
        <v>0</v>
      </c>
      <c r="AN21" s="9">
        <f t="shared" si="4"/>
        <v>0</v>
      </c>
      <c r="AO21" s="9">
        <f t="shared" si="5"/>
        <v>0</v>
      </c>
    </row>
    <row r="22" hidden="1" spans="2:41">
      <c r="B22" s="8" t="s">
        <v>34</v>
      </c>
      <c r="C22" s="8" t="s">
        <v>13</v>
      </c>
      <c r="D22" s="9" t="s">
        <v>11</v>
      </c>
      <c r="E22" s="9"/>
      <c r="F22" s="9"/>
      <c r="G22" s="9"/>
      <c r="H22" s="9"/>
      <c r="I22" s="9"/>
      <c r="J22" s="9" t="s">
        <v>11</v>
      </c>
      <c r="K22" s="9" t="s">
        <v>11</v>
      </c>
      <c r="L22" s="9"/>
      <c r="M22" s="9"/>
      <c r="N22" s="9"/>
      <c r="O22" s="9"/>
      <c r="P22" s="9"/>
      <c r="Q22" s="9" t="s">
        <v>11</v>
      </c>
      <c r="R22" s="9" t="s">
        <v>11</v>
      </c>
      <c r="S22" s="9"/>
      <c r="T22" s="9"/>
      <c r="U22" s="9"/>
      <c r="V22" s="9"/>
      <c r="W22" s="9"/>
      <c r="X22" s="9" t="s">
        <v>11</v>
      </c>
      <c r="Y22" s="9" t="s">
        <v>11</v>
      </c>
      <c r="Z22" s="9"/>
      <c r="AA22" s="9"/>
      <c r="AB22" s="9"/>
      <c r="AC22" s="9"/>
      <c r="AD22" s="9"/>
      <c r="AE22" s="9" t="s">
        <v>11</v>
      </c>
      <c r="AF22" s="9"/>
      <c r="AG22" s="9"/>
      <c r="AH22" s="9"/>
      <c r="AI22" s="1"/>
      <c r="AJ22" s="9">
        <f t="shared" si="0"/>
        <v>0</v>
      </c>
      <c r="AK22" s="9">
        <f t="shared" si="1"/>
        <v>0</v>
      </c>
      <c r="AL22" s="9">
        <f t="shared" si="2"/>
        <v>0</v>
      </c>
      <c r="AM22" s="9">
        <f t="shared" si="3"/>
        <v>0</v>
      </c>
      <c r="AN22" s="9">
        <f t="shared" si="4"/>
        <v>0</v>
      </c>
      <c r="AO22" s="9">
        <f t="shared" si="5"/>
        <v>0</v>
      </c>
    </row>
    <row r="23" hidden="1" spans="2:41">
      <c r="B23" s="8" t="s">
        <v>35</v>
      </c>
      <c r="C23" s="8" t="s">
        <v>13</v>
      </c>
      <c r="D23" s="9" t="s">
        <v>11</v>
      </c>
      <c r="E23" s="9"/>
      <c r="F23" s="9"/>
      <c r="G23" s="9"/>
      <c r="H23" s="9"/>
      <c r="I23" s="9"/>
      <c r="J23" s="9" t="s">
        <v>11</v>
      </c>
      <c r="K23" s="9" t="s">
        <v>11</v>
      </c>
      <c r="L23" s="9"/>
      <c r="M23" s="9"/>
      <c r="N23" s="9"/>
      <c r="O23" s="9"/>
      <c r="P23" s="9"/>
      <c r="Q23" s="9" t="s">
        <v>11</v>
      </c>
      <c r="R23" s="9" t="s">
        <v>11</v>
      </c>
      <c r="S23" s="9"/>
      <c r="T23" s="9"/>
      <c r="U23" s="9"/>
      <c r="V23" s="9"/>
      <c r="W23" s="9"/>
      <c r="X23" s="9" t="s">
        <v>11</v>
      </c>
      <c r="Y23" s="9" t="s">
        <v>11</v>
      </c>
      <c r="Z23" s="9"/>
      <c r="AA23" s="9"/>
      <c r="AB23" s="9"/>
      <c r="AC23" s="9"/>
      <c r="AD23" s="9"/>
      <c r="AE23" s="9" t="s">
        <v>11</v>
      </c>
      <c r="AF23" s="9"/>
      <c r="AG23" s="9"/>
      <c r="AH23" s="9"/>
      <c r="AI23" s="1"/>
      <c r="AJ23" s="9">
        <f t="shared" si="0"/>
        <v>0</v>
      </c>
      <c r="AK23" s="9">
        <f t="shared" si="1"/>
        <v>0</v>
      </c>
      <c r="AL23" s="9">
        <f t="shared" si="2"/>
        <v>0</v>
      </c>
      <c r="AM23" s="9">
        <f t="shared" si="3"/>
        <v>0</v>
      </c>
      <c r="AN23" s="9">
        <f t="shared" si="4"/>
        <v>0</v>
      </c>
      <c r="AO23" s="9">
        <f t="shared" si="5"/>
        <v>0</v>
      </c>
    </row>
    <row r="24" hidden="1" spans="2:41">
      <c r="B24" s="8" t="s">
        <v>36</v>
      </c>
      <c r="C24" s="8" t="s">
        <v>10</v>
      </c>
      <c r="D24" s="9" t="s">
        <v>11</v>
      </c>
      <c r="E24" s="9"/>
      <c r="F24" s="9"/>
      <c r="G24" s="9"/>
      <c r="H24" s="9"/>
      <c r="I24" s="9"/>
      <c r="J24" s="9" t="s">
        <v>11</v>
      </c>
      <c r="K24" s="9" t="s">
        <v>11</v>
      </c>
      <c r="L24" s="9"/>
      <c r="M24" s="9"/>
      <c r="N24" s="9"/>
      <c r="O24" s="9"/>
      <c r="P24" s="9"/>
      <c r="Q24" s="9" t="s">
        <v>11</v>
      </c>
      <c r="R24" s="9" t="s">
        <v>11</v>
      </c>
      <c r="S24" s="9"/>
      <c r="T24" s="9"/>
      <c r="U24" s="9"/>
      <c r="V24" s="9"/>
      <c r="W24" s="9"/>
      <c r="X24" s="9" t="s">
        <v>11</v>
      </c>
      <c r="Y24" s="9" t="s">
        <v>11</v>
      </c>
      <c r="Z24" s="9"/>
      <c r="AA24" s="9"/>
      <c r="AB24" s="9"/>
      <c r="AC24" s="9"/>
      <c r="AD24" s="9"/>
      <c r="AE24" s="9" t="s">
        <v>11</v>
      </c>
      <c r="AF24" s="9"/>
      <c r="AG24" s="9"/>
      <c r="AH24" s="9"/>
      <c r="AI24" s="1"/>
      <c r="AJ24" s="9">
        <f t="shared" si="0"/>
        <v>0</v>
      </c>
      <c r="AK24" s="9">
        <f t="shared" si="1"/>
        <v>0</v>
      </c>
      <c r="AL24" s="9">
        <f t="shared" si="2"/>
        <v>0</v>
      </c>
      <c r="AM24" s="9">
        <f t="shared" si="3"/>
        <v>0</v>
      </c>
      <c r="AN24" s="9">
        <f t="shared" si="4"/>
        <v>0</v>
      </c>
      <c r="AO24" s="9">
        <f t="shared" si="5"/>
        <v>0</v>
      </c>
    </row>
    <row r="25" hidden="1" spans="2:41">
      <c r="B25" s="8" t="s">
        <v>37</v>
      </c>
      <c r="C25" s="8" t="s">
        <v>13</v>
      </c>
      <c r="D25" s="9" t="s">
        <v>11</v>
      </c>
      <c r="E25" s="9"/>
      <c r="F25" s="9"/>
      <c r="G25" s="9"/>
      <c r="H25" s="9"/>
      <c r="I25" s="9"/>
      <c r="J25" s="9" t="s">
        <v>11</v>
      </c>
      <c r="K25" s="9" t="s">
        <v>11</v>
      </c>
      <c r="L25" s="9"/>
      <c r="M25" s="9"/>
      <c r="N25" s="9"/>
      <c r="O25" s="9"/>
      <c r="P25" s="9"/>
      <c r="Q25" s="9" t="s">
        <v>11</v>
      </c>
      <c r="R25" s="9" t="s">
        <v>11</v>
      </c>
      <c r="S25" s="9"/>
      <c r="T25" s="9"/>
      <c r="U25" s="9"/>
      <c r="V25" s="9"/>
      <c r="W25" s="9"/>
      <c r="X25" s="9" t="s">
        <v>11</v>
      </c>
      <c r="Y25" s="9" t="s">
        <v>11</v>
      </c>
      <c r="Z25" s="9"/>
      <c r="AA25" s="9"/>
      <c r="AB25" s="9"/>
      <c r="AC25" s="9"/>
      <c r="AD25" s="9"/>
      <c r="AE25" s="9" t="s">
        <v>11</v>
      </c>
      <c r="AF25" s="9"/>
      <c r="AG25" s="9"/>
      <c r="AH25" s="9"/>
      <c r="AI25" s="1"/>
      <c r="AJ25" s="9">
        <f t="shared" si="0"/>
        <v>0</v>
      </c>
      <c r="AK25" s="9">
        <f t="shared" si="1"/>
        <v>0</v>
      </c>
      <c r="AL25" s="9">
        <f t="shared" si="2"/>
        <v>0</v>
      </c>
      <c r="AM25" s="9">
        <f t="shared" si="3"/>
        <v>0</v>
      </c>
      <c r="AN25" s="9">
        <f t="shared" si="4"/>
        <v>0</v>
      </c>
      <c r="AO25" s="9">
        <f t="shared" si="5"/>
        <v>0</v>
      </c>
    </row>
    <row r="26" hidden="1" spans="2:41">
      <c r="B26" s="8" t="s">
        <v>38</v>
      </c>
      <c r="C26" s="8" t="s">
        <v>10</v>
      </c>
      <c r="D26" s="9" t="s">
        <v>11</v>
      </c>
      <c r="E26" s="9"/>
      <c r="F26" s="9"/>
      <c r="G26" s="9"/>
      <c r="H26" s="9"/>
      <c r="I26" s="9"/>
      <c r="J26" s="9" t="s">
        <v>11</v>
      </c>
      <c r="K26" s="9" t="s">
        <v>11</v>
      </c>
      <c r="L26" s="9"/>
      <c r="M26" s="9"/>
      <c r="N26" s="9"/>
      <c r="O26" s="9"/>
      <c r="P26" s="9"/>
      <c r="Q26" s="9" t="s">
        <v>11</v>
      </c>
      <c r="R26" s="9" t="s">
        <v>11</v>
      </c>
      <c r="S26" s="9"/>
      <c r="T26" s="9"/>
      <c r="U26" s="9"/>
      <c r="V26" s="9"/>
      <c r="W26" s="9"/>
      <c r="X26" s="9" t="s">
        <v>11</v>
      </c>
      <c r="Y26" s="9" t="s">
        <v>11</v>
      </c>
      <c r="Z26" s="9"/>
      <c r="AA26" s="9"/>
      <c r="AB26" s="9"/>
      <c r="AC26" s="9"/>
      <c r="AD26" s="9"/>
      <c r="AE26" s="9" t="s">
        <v>11</v>
      </c>
      <c r="AF26" s="9"/>
      <c r="AG26" s="9"/>
      <c r="AH26" s="9"/>
      <c r="AI26" s="1"/>
      <c r="AJ26" s="9">
        <f t="shared" si="0"/>
        <v>0</v>
      </c>
      <c r="AK26" s="9">
        <f t="shared" si="1"/>
        <v>0</v>
      </c>
      <c r="AL26" s="9">
        <f t="shared" si="2"/>
        <v>0</v>
      </c>
      <c r="AM26" s="9">
        <f t="shared" si="3"/>
        <v>0</v>
      </c>
      <c r="AN26" s="9">
        <f t="shared" si="4"/>
        <v>0</v>
      </c>
      <c r="AO26" s="9">
        <f t="shared" si="5"/>
        <v>0</v>
      </c>
    </row>
    <row r="27" hidden="1" spans="2:41">
      <c r="B27" s="8" t="s">
        <v>39</v>
      </c>
      <c r="C27" s="8" t="s">
        <v>13</v>
      </c>
      <c r="D27" s="9" t="s">
        <v>11</v>
      </c>
      <c r="E27" s="9"/>
      <c r="F27" s="9"/>
      <c r="G27" s="9"/>
      <c r="H27" s="9"/>
      <c r="I27" s="9"/>
      <c r="J27" s="9" t="s">
        <v>11</v>
      </c>
      <c r="K27" s="9" t="s">
        <v>11</v>
      </c>
      <c r="L27" s="9"/>
      <c r="M27" s="9"/>
      <c r="N27" s="9"/>
      <c r="O27" s="9"/>
      <c r="P27" s="9"/>
      <c r="Q27" s="9" t="s">
        <v>11</v>
      </c>
      <c r="R27" s="9" t="s">
        <v>11</v>
      </c>
      <c r="S27" s="9"/>
      <c r="T27" s="9"/>
      <c r="U27" s="9"/>
      <c r="V27" s="9"/>
      <c r="W27" s="9"/>
      <c r="X27" s="9" t="s">
        <v>11</v>
      </c>
      <c r="Y27" s="9" t="s">
        <v>11</v>
      </c>
      <c r="Z27" s="9"/>
      <c r="AA27" s="9"/>
      <c r="AB27" s="9"/>
      <c r="AC27" s="9"/>
      <c r="AD27" s="9"/>
      <c r="AE27" s="9" t="s">
        <v>11</v>
      </c>
      <c r="AF27" s="9"/>
      <c r="AG27" s="9"/>
      <c r="AH27" s="9"/>
      <c r="AI27" s="1"/>
      <c r="AJ27" s="9">
        <f t="shared" si="0"/>
        <v>0</v>
      </c>
      <c r="AK27" s="9">
        <f t="shared" si="1"/>
        <v>0</v>
      </c>
      <c r="AL27" s="9">
        <f t="shared" si="2"/>
        <v>0</v>
      </c>
      <c r="AM27" s="9">
        <f t="shared" si="3"/>
        <v>0</v>
      </c>
      <c r="AN27" s="9">
        <f t="shared" si="4"/>
        <v>0</v>
      </c>
      <c r="AO27" s="9">
        <f t="shared" si="5"/>
        <v>0</v>
      </c>
    </row>
    <row r="28" hidden="1" spans="2:41">
      <c r="B28" s="8" t="s">
        <v>40</v>
      </c>
      <c r="C28" s="8" t="s">
        <v>13</v>
      </c>
      <c r="D28" s="9" t="s">
        <v>11</v>
      </c>
      <c r="E28" s="9"/>
      <c r="F28" s="9"/>
      <c r="G28" s="9"/>
      <c r="H28" s="9"/>
      <c r="I28" s="9"/>
      <c r="J28" s="9" t="s">
        <v>11</v>
      </c>
      <c r="K28" s="9" t="s">
        <v>11</v>
      </c>
      <c r="L28" s="9"/>
      <c r="M28" s="9"/>
      <c r="N28" s="9"/>
      <c r="O28" s="9"/>
      <c r="P28" s="9"/>
      <c r="Q28" s="9" t="s">
        <v>11</v>
      </c>
      <c r="R28" s="9" t="s">
        <v>11</v>
      </c>
      <c r="S28" s="9"/>
      <c r="T28" s="9"/>
      <c r="U28" s="9"/>
      <c r="V28" s="9"/>
      <c r="W28" s="9"/>
      <c r="X28" s="9" t="s">
        <v>11</v>
      </c>
      <c r="Y28" s="9" t="s">
        <v>11</v>
      </c>
      <c r="Z28" s="9"/>
      <c r="AA28" s="9"/>
      <c r="AB28" s="9"/>
      <c r="AC28" s="9"/>
      <c r="AD28" s="9"/>
      <c r="AE28" s="9" t="s">
        <v>11</v>
      </c>
      <c r="AF28" s="9"/>
      <c r="AG28" s="9"/>
      <c r="AH28" s="9"/>
      <c r="AI28" s="1"/>
      <c r="AJ28" s="9">
        <f t="shared" si="0"/>
        <v>0</v>
      </c>
      <c r="AK28" s="9">
        <f t="shared" si="1"/>
        <v>0</v>
      </c>
      <c r="AL28" s="9">
        <f t="shared" si="2"/>
        <v>0</v>
      </c>
      <c r="AM28" s="9">
        <f t="shared" si="3"/>
        <v>0</v>
      </c>
      <c r="AN28" s="9">
        <f t="shared" si="4"/>
        <v>0</v>
      </c>
      <c r="AO28" s="9">
        <f t="shared" si="5"/>
        <v>0</v>
      </c>
    </row>
    <row r="29" hidden="1" spans="2:41">
      <c r="B29" s="8" t="s">
        <v>41</v>
      </c>
      <c r="C29" s="8" t="s">
        <v>17</v>
      </c>
      <c r="D29" s="9" t="s">
        <v>11</v>
      </c>
      <c r="E29" s="9"/>
      <c r="F29" s="9"/>
      <c r="G29" s="9"/>
      <c r="H29" s="9"/>
      <c r="I29" s="9"/>
      <c r="J29" s="9" t="s">
        <v>11</v>
      </c>
      <c r="K29" s="9" t="s">
        <v>11</v>
      </c>
      <c r="L29" s="9"/>
      <c r="M29" s="9"/>
      <c r="N29" s="9"/>
      <c r="O29" s="9"/>
      <c r="P29" s="9"/>
      <c r="Q29" s="9" t="s">
        <v>11</v>
      </c>
      <c r="R29" s="9" t="s">
        <v>11</v>
      </c>
      <c r="S29" s="9"/>
      <c r="T29" s="9"/>
      <c r="U29" s="9"/>
      <c r="V29" s="9"/>
      <c r="W29" s="9"/>
      <c r="X29" s="9" t="s">
        <v>11</v>
      </c>
      <c r="Y29" s="9" t="s">
        <v>11</v>
      </c>
      <c r="Z29" s="9"/>
      <c r="AA29" s="9"/>
      <c r="AB29" s="9"/>
      <c r="AC29" s="9"/>
      <c r="AD29" s="9"/>
      <c r="AE29" s="9" t="s">
        <v>11</v>
      </c>
      <c r="AF29" s="9"/>
      <c r="AG29" s="9"/>
      <c r="AH29" s="9"/>
      <c r="AI29" s="1"/>
      <c r="AJ29" s="9">
        <f t="shared" si="0"/>
        <v>0</v>
      </c>
      <c r="AK29" s="9">
        <f t="shared" si="1"/>
        <v>0</v>
      </c>
      <c r="AL29" s="9">
        <f t="shared" si="2"/>
        <v>0</v>
      </c>
      <c r="AM29" s="9">
        <f t="shared" si="3"/>
        <v>0</v>
      </c>
      <c r="AN29" s="9">
        <f t="shared" si="4"/>
        <v>0</v>
      </c>
      <c r="AO29" s="9">
        <f t="shared" si="5"/>
        <v>0</v>
      </c>
    </row>
    <row r="30" hidden="1" spans="2:41">
      <c r="B30" s="8" t="s">
        <v>42</v>
      </c>
      <c r="C30" s="8" t="s">
        <v>10</v>
      </c>
      <c r="D30" s="9" t="s">
        <v>11</v>
      </c>
      <c r="E30" s="9"/>
      <c r="F30" s="9"/>
      <c r="G30" s="9"/>
      <c r="H30" s="9"/>
      <c r="I30" s="9"/>
      <c r="J30" s="9" t="s">
        <v>11</v>
      </c>
      <c r="K30" s="9" t="s">
        <v>11</v>
      </c>
      <c r="L30" s="9"/>
      <c r="M30" s="9"/>
      <c r="N30" s="9"/>
      <c r="O30" s="9"/>
      <c r="P30" s="9"/>
      <c r="Q30" s="9" t="s">
        <v>11</v>
      </c>
      <c r="R30" s="9" t="s">
        <v>11</v>
      </c>
      <c r="S30" s="9"/>
      <c r="T30" s="9"/>
      <c r="U30" s="9"/>
      <c r="V30" s="9"/>
      <c r="W30" s="9"/>
      <c r="X30" s="9" t="s">
        <v>11</v>
      </c>
      <c r="Y30" s="9" t="s">
        <v>11</v>
      </c>
      <c r="Z30" s="9"/>
      <c r="AA30" s="9"/>
      <c r="AB30" s="9"/>
      <c r="AC30" s="9"/>
      <c r="AD30" s="9"/>
      <c r="AE30" s="9" t="s">
        <v>11</v>
      </c>
      <c r="AF30" s="9"/>
      <c r="AG30" s="9"/>
      <c r="AH30" s="9"/>
      <c r="AI30" s="1"/>
      <c r="AJ30" s="9">
        <f t="shared" si="0"/>
        <v>0</v>
      </c>
      <c r="AK30" s="9">
        <f t="shared" si="1"/>
        <v>0</v>
      </c>
      <c r="AL30" s="9">
        <f t="shared" si="2"/>
        <v>0</v>
      </c>
      <c r="AM30" s="9">
        <f t="shared" si="3"/>
        <v>0</v>
      </c>
      <c r="AN30" s="9">
        <f t="shared" si="4"/>
        <v>0</v>
      </c>
      <c r="AO30" s="9">
        <f t="shared" si="5"/>
        <v>0</v>
      </c>
    </row>
    <row r="31" hidden="1" spans="2:41">
      <c r="B31" s="8" t="s">
        <v>43</v>
      </c>
      <c r="C31" s="8" t="s">
        <v>13</v>
      </c>
      <c r="D31" s="9" t="s">
        <v>11</v>
      </c>
      <c r="E31" s="9"/>
      <c r="F31" s="9"/>
      <c r="G31" s="9"/>
      <c r="H31" s="9"/>
      <c r="I31" s="9"/>
      <c r="J31" s="9" t="s">
        <v>11</v>
      </c>
      <c r="K31" s="9" t="s">
        <v>11</v>
      </c>
      <c r="L31" s="9"/>
      <c r="M31" s="9"/>
      <c r="N31" s="9"/>
      <c r="O31" s="9"/>
      <c r="P31" s="9"/>
      <c r="Q31" s="9" t="s">
        <v>11</v>
      </c>
      <c r="R31" s="9" t="s">
        <v>11</v>
      </c>
      <c r="S31" s="9"/>
      <c r="T31" s="9"/>
      <c r="U31" s="9"/>
      <c r="V31" s="9"/>
      <c r="W31" s="9"/>
      <c r="X31" s="9" t="s">
        <v>11</v>
      </c>
      <c r="Y31" s="9" t="s">
        <v>11</v>
      </c>
      <c r="Z31" s="9"/>
      <c r="AA31" s="9"/>
      <c r="AB31" s="9"/>
      <c r="AC31" s="9"/>
      <c r="AD31" s="9"/>
      <c r="AE31" s="9" t="s">
        <v>11</v>
      </c>
      <c r="AF31" s="9"/>
      <c r="AG31" s="9"/>
      <c r="AH31" s="9"/>
      <c r="AI31" s="1"/>
      <c r="AJ31" s="9">
        <f t="shared" si="0"/>
        <v>0</v>
      </c>
      <c r="AK31" s="9">
        <f t="shared" si="1"/>
        <v>0</v>
      </c>
      <c r="AL31" s="9">
        <f t="shared" si="2"/>
        <v>0</v>
      </c>
      <c r="AM31" s="9">
        <f t="shared" si="3"/>
        <v>0</v>
      </c>
      <c r="AN31" s="9">
        <f t="shared" si="4"/>
        <v>0</v>
      </c>
      <c r="AO31" s="9">
        <f t="shared" si="5"/>
        <v>0</v>
      </c>
    </row>
    <row r="32" hidden="1" spans="2:41">
      <c r="B32" s="8" t="s">
        <v>44</v>
      </c>
      <c r="C32" s="8" t="s">
        <v>10</v>
      </c>
      <c r="D32" s="9" t="s">
        <v>11</v>
      </c>
      <c r="E32" s="9"/>
      <c r="F32" s="9"/>
      <c r="G32" s="9"/>
      <c r="H32" s="9"/>
      <c r="I32" s="9"/>
      <c r="J32" s="9" t="s">
        <v>11</v>
      </c>
      <c r="K32" s="9" t="s">
        <v>11</v>
      </c>
      <c r="L32" s="9"/>
      <c r="M32" s="9"/>
      <c r="N32" s="9"/>
      <c r="O32" s="9"/>
      <c r="P32" s="9"/>
      <c r="Q32" s="9" t="s">
        <v>11</v>
      </c>
      <c r="R32" s="9" t="s">
        <v>11</v>
      </c>
      <c r="S32" s="9"/>
      <c r="T32" s="9"/>
      <c r="U32" s="9"/>
      <c r="V32" s="9"/>
      <c r="W32" s="9"/>
      <c r="X32" s="9" t="s">
        <v>11</v>
      </c>
      <c r="Y32" s="9" t="s">
        <v>11</v>
      </c>
      <c r="Z32" s="9"/>
      <c r="AA32" s="9"/>
      <c r="AB32" s="9"/>
      <c r="AC32" s="9"/>
      <c r="AD32" s="9"/>
      <c r="AE32" s="9" t="s">
        <v>11</v>
      </c>
      <c r="AF32" s="9"/>
      <c r="AG32" s="9"/>
      <c r="AH32" s="9"/>
      <c r="AI32" s="1"/>
      <c r="AJ32" s="9">
        <f t="shared" si="0"/>
        <v>0</v>
      </c>
      <c r="AK32" s="9">
        <f t="shared" si="1"/>
        <v>0</v>
      </c>
      <c r="AL32" s="9">
        <f t="shared" si="2"/>
        <v>0</v>
      </c>
      <c r="AM32" s="9">
        <f t="shared" si="3"/>
        <v>0</v>
      </c>
      <c r="AN32" s="9">
        <f t="shared" si="4"/>
        <v>0</v>
      </c>
      <c r="AO32" s="9">
        <f t="shared" si="5"/>
        <v>0</v>
      </c>
    </row>
    <row r="33" hidden="1" spans="2:41">
      <c r="B33" s="8" t="s">
        <v>45</v>
      </c>
      <c r="C33" s="8" t="s">
        <v>15</v>
      </c>
      <c r="D33" s="9" t="s">
        <v>11</v>
      </c>
      <c r="E33" s="9"/>
      <c r="F33" s="9"/>
      <c r="G33" s="9"/>
      <c r="H33" s="9"/>
      <c r="I33" s="9"/>
      <c r="J33" s="9" t="s">
        <v>11</v>
      </c>
      <c r="K33" s="9" t="s">
        <v>11</v>
      </c>
      <c r="L33" s="9"/>
      <c r="M33" s="9"/>
      <c r="N33" s="9"/>
      <c r="O33" s="9"/>
      <c r="P33" s="9"/>
      <c r="Q33" s="9" t="s">
        <v>11</v>
      </c>
      <c r="R33" s="9" t="s">
        <v>11</v>
      </c>
      <c r="S33" s="9"/>
      <c r="T33" s="9"/>
      <c r="U33" s="9"/>
      <c r="V33" s="9"/>
      <c r="W33" s="9"/>
      <c r="X33" s="9" t="s">
        <v>11</v>
      </c>
      <c r="Y33" s="9" t="s">
        <v>11</v>
      </c>
      <c r="Z33" s="9"/>
      <c r="AA33" s="9"/>
      <c r="AB33" s="9"/>
      <c r="AC33" s="9"/>
      <c r="AD33" s="9"/>
      <c r="AE33" s="9" t="s">
        <v>11</v>
      </c>
      <c r="AF33" s="9"/>
      <c r="AG33" s="9"/>
      <c r="AH33" s="9"/>
      <c r="AI33" s="1"/>
      <c r="AJ33" s="9">
        <f t="shared" si="0"/>
        <v>0</v>
      </c>
      <c r="AK33" s="9">
        <f t="shared" si="1"/>
        <v>0</v>
      </c>
      <c r="AL33" s="9">
        <f t="shared" si="2"/>
        <v>0</v>
      </c>
      <c r="AM33" s="9">
        <f t="shared" si="3"/>
        <v>0</v>
      </c>
      <c r="AN33" s="9">
        <f t="shared" si="4"/>
        <v>0</v>
      </c>
      <c r="AO33" s="9">
        <f t="shared" si="5"/>
        <v>0</v>
      </c>
    </row>
    <row r="34" hidden="1" spans="2:41">
      <c r="B34" s="8" t="s">
        <v>46</v>
      </c>
      <c r="C34" s="8" t="s">
        <v>47</v>
      </c>
      <c r="D34" s="9" t="s">
        <v>11</v>
      </c>
      <c r="E34" s="9"/>
      <c r="F34" s="9"/>
      <c r="G34" s="9"/>
      <c r="H34" s="9"/>
      <c r="I34" s="9"/>
      <c r="J34" s="9" t="s">
        <v>11</v>
      </c>
      <c r="K34" s="9" t="s">
        <v>11</v>
      </c>
      <c r="L34" s="9"/>
      <c r="M34" s="9"/>
      <c r="N34" s="9"/>
      <c r="O34" s="9"/>
      <c r="P34" s="9"/>
      <c r="Q34" s="9" t="s">
        <v>11</v>
      </c>
      <c r="R34" s="9" t="s">
        <v>11</v>
      </c>
      <c r="S34" s="9"/>
      <c r="T34" s="9"/>
      <c r="U34" s="9"/>
      <c r="V34" s="9"/>
      <c r="W34" s="9"/>
      <c r="X34" s="9" t="s">
        <v>11</v>
      </c>
      <c r="Y34" s="9" t="s">
        <v>11</v>
      </c>
      <c r="Z34" s="9"/>
      <c r="AA34" s="9"/>
      <c r="AB34" s="9"/>
      <c r="AC34" s="9"/>
      <c r="AD34" s="9"/>
      <c r="AE34" s="9" t="s">
        <v>11</v>
      </c>
      <c r="AF34" s="9"/>
      <c r="AG34" s="9"/>
      <c r="AH34" s="9"/>
      <c r="AI34" s="1"/>
      <c r="AJ34" s="9">
        <f t="shared" si="0"/>
        <v>0</v>
      </c>
      <c r="AK34" s="9">
        <f t="shared" si="1"/>
        <v>0</v>
      </c>
      <c r="AL34" s="9">
        <f t="shared" si="2"/>
        <v>0</v>
      </c>
      <c r="AM34" s="9">
        <f t="shared" si="3"/>
        <v>0</v>
      </c>
      <c r="AN34" s="9">
        <f t="shared" si="4"/>
        <v>0</v>
      </c>
      <c r="AO34" s="9">
        <f t="shared" si="5"/>
        <v>0</v>
      </c>
    </row>
    <row r="35" hidden="1" spans="2:41">
      <c r="B35" s="8" t="s">
        <v>48</v>
      </c>
      <c r="C35" s="8" t="s">
        <v>17</v>
      </c>
      <c r="D35" s="9" t="s">
        <v>11</v>
      </c>
      <c r="E35" s="9"/>
      <c r="F35" s="9"/>
      <c r="G35" s="9"/>
      <c r="H35" s="9"/>
      <c r="I35" s="9"/>
      <c r="J35" s="9" t="s">
        <v>11</v>
      </c>
      <c r="K35" s="9" t="s">
        <v>11</v>
      </c>
      <c r="L35" s="9"/>
      <c r="M35" s="9"/>
      <c r="N35" s="9"/>
      <c r="O35" s="9"/>
      <c r="P35" s="9"/>
      <c r="Q35" s="9" t="s">
        <v>11</v>
      </c>
      <c r="R35" s="9" t="s">
        <v>11</v>
      </c>
      <c r="S35" s="9"/>
      <c r="T35" s="9"/>
      <c r="U35" s="9"/>
      <c r="V35" s="9"/>
      <c r="W35" s="9"/>
      <c r="X35" s="9" t="s">
        <v>11</v>
      </c>
      <c r="Y35" s="9" t="s">
        <v>11</v>
      </c>
      <c r="Z35" s="9"/>
      <c r="AA35" s="9"/>
      <c r="AB35" s="9"/>
      <c r="AC35" s="9"/>
      <c r="AD35" s="9"/>
      <c r="AE35" s="9" t="s">
        <v>11</v>
      </c>
      <c r="AF35" s="9"/>
      <c r="AG35" s="9"/>
      <c r="AH35" s="9"/>
      <c r="AI35" s="1"/>
      <c r="AJ35" s="9">
        <f t="shared" si="0"/>
        <v>0</v>
      </c>
      <c r="AK35" s="9">
        <f t="shared" si="1"/>
        <v>0</v>
      </c>
      <c r="AL35" s="9">
        <f t="shared" si="2"/>
        <v>0</v>
      </c>
      <c r="AM35" s="9">
        <f t="shared" si="3"/>
        <v>0</v>
      </c>
      <c r="AN35" s="9">
        <f t="shared" si="4"/>
        <v>0</v>
      </c>
      <c r="AO35" s="9">
        <f t="shared" si="5"/>
        <v>0</v>
      </c>
    </row>
    <row r="36" hidden="1" spans="2:41">
      <c r="B36" s="8" t="s">
        <v>49</v>
      </c>
      <c r="C36" s="8" t="s">
        <v>10</v>
      </c>
      <c r="D36" s="9" t="s">
        <v>11</v>
      </c>
      <c r="E36" s="9"/>
      <c r="F36" s="9"/>
      <c r="G36" s="9"/>
      <c r="H36" s="9"/>
      <c r="I36" s="9"/>
      <c r="J36" s="9" t="s">
        <v>11</v>
      </c>
      <c r="K36" s="9" t="s">
        <v>11</v>
      </c>
      <c r="L36" s="9"/>
      <c r="M36" s="9"/>
      <c r="N36" s="9"/>
      <c r="O36" s="9"/>
      <c r="P36" s="9"/>
      <c r="Q36" s="9" t="s">
        <v>11</v>
      </c>
      <c r="R36" s="9" t="s">
        <v>11</v>
      </c>
      <c r="S36" s="9"/>
      <c r="T36" s="9"/>
      <c r="U36" s="9"/>
      <c r="V36" s="9"/>
      <c r="W36" s="9"/>
      <c r="X36" s="9" t="s">
        <v>11</v>
      </c>
      <c r="Y36" s="9" t="s">
        <v>11</v>
      </c>
      <c r="Z36" s="9"/>
      <c r="AA36" s="9"/>
      <c r="AB36" s="9"/>
      <c r="AC36" s="9"/>
      <c r="AD36" s="9"/>
      <c r="AE36" s="9" t="s">
        <v>11</v>
      </c>
      <c r="AF36" s="9"/>
      <c r="AG36" s="9"/>
      <c r="AH36" s="9"/>
      <c r="AI36" s="1"/>
      <c r="AJ36" s="9">
        <f t="shared" si="0"/>
        <v>0</v>
      </c>
      <c r="AK36" s="9">
        <f t="shared" si="1"/>
        <v>0</v>
      </c>
      <c r="AL36" s="9">
        <f t="shared" si="2"/>
        <v>0</v>
      </c>
      <c r="AM36" s="9">
        <f t="shared" si="3"/>
        <v>0</v>
      </c>
      <c r="AN36" s="9">
        <f t="shared" si="4"/>
        <v>0</v>
      </c>
      <c r="AO36" s="9">
        <f t="shared" si="5"/>
        <v>0</v>
      </c>
    </row>
    <row r="37" hidden="1" spans="2:41">
      <c r="B37" s="8" t="s">
        <v>50</v>
      </c>
      <c r="C37" s="8" t="s">
        <v>15</v>
      </c>
      <c r="D37" s="9" t="s">
        <v>11</v>
      </c>
      <c r="E37" s="9"/>
      <c r="F37" s="9"/>
      <c r="G37" s="9"/>
      <c r="H37" s="9"/>
      <c r="I37" s="9"/>
      <c r="J37" s="9" t="s">
        <v>11</v>
      </c>
      <c r="K37" s="9" t="s">
        <v>11</v>
      </c>
      <c r="L37" s="9"/>
      <c r="M37" s="9"/>
      <c r="N37" s="9"/>
      <c r="O37" s="9"/>
      <c r="P37" s="9"/>
      <c r="Q37" s="9" t="s">
        <v>11</v>
      </c>
      <c r="R37" s="9" t="s">
        <v>11</v>
      </c>
      <c r="S37" s="9"/>
      <c r="T37" s="9"/>
      <c r="U37" s="9"/>
      <c r="V37" s="9"/>
      <c r="W37" s="9"/>
      <c r="X37" s="9" t="s">
        <v>11</v>
      </c>
      <c r="Y37" s="9" t="s">
        <v>11</v>
      </c>
      <c r="Z37" s="9"/>
      <c r="AA37" s="9"/>
      <c r="AB37" s="9"/>
      <c r="AC37" s="9"/>
      <c r="AD37" s="9"/>
      <c r="AE37" s="9" t="s">
        <v>11</v>
      </c>
      <c r="AF37" s="9"/>
      <c r="AG37" s="9"/>
      <c r="AH37" s="9"/>
      <c r="AI37" s="1"/>
      <c r="AJ37" s="9">
        <f t="shared" si="0"/>
        <v>0</v>
      </c>
      <c r="AK37" s="9">
        <f t="shared" si="1"/>
        <v>0</v>
      </c>
      <c r="AL37" s="9">
        <f t="shared" si="2"/>
        <v>0</v>
      </c>
      <c r="AM37" s="9">
        <f t="shared" si="3"/>
        <v>0</v>
      </c>
      <c r="AN37" s="9">
        <f t="shared" si="4"/>
        <v>0</v>
      </c>
      <c r="AO37" s="9">
        <f t="shared" si="5"/>
        <v>0</v>
      </c>
    </row>
    <row r="38" hidden="1" spans="2:41">
      <c r="B38" s="8" t="s">
        <v>51</v>
      </c>
      <c r="C38" s="8" t="s">
        <v>13</v>
      </c>
      <c r="D38" s="9" t="s">
        <v>11</v>
      </c>
      <c r="E38" s="9"/>
      <c r="F38" s="9"/>
      <c r="G38" s="9"/>
      <c r="H38" s="9"/>
      <c r="I38" s="9"/>
      <c r="J38" s="9" t="s">
        <v>11</v>
      </c>
      <c r="K38" s="9" t="s">
        <v>11</v>
      </c>
      <c r="L38" s="9"/>
      <c r="M38" s="9"/>
      <c r="N38" s="9"/>
      <c r="O38" s="9"/>
      <c r="P38" s="9"/>
      <c r="Q38" s="9" t="s">
        <v>11</v>
      </c>
      <c r="R38" s="9" t="s">
        <v>11</v>
      </c>
      <c r="S38" s="9"/>
      <c r="T38" s="9"/>
      <c r="U38" s="9"/>
      <c r="V38" s="9"/>
      <c r="W38" s="9"/>
      <c r="X38" s="9" t="s">
        <v>11</v>
      </c>
      <c r="Y38" s="9" t="s">
        <v>11</v>
      </c>
      <c r="Z38" s="9"/>
      <c r="AA38" s="9"/>
      <c r="AB38" s="9"/>
      <c r="AC38" s="9"/>
      <c r="AD38" s="9"/>
      <c r="AE38" s="9" t="s">
        <v>11</v>
      </c>
      <c r="AF38" s="9"/>
      <c r="AG38" s="9"/>
      <c r="AH38" s="9"/>
      <c r="AI38" s="1"/>
      <c r="AJ38" s="9">
        <f t="shared" si="0"/>
        <v>0</v>
      </c>
      <c r="AK38" s="9">
        <f t="shared" si="1"/>
        <v>0</v>
      </c>
      <c r="AL38" s="9">
        <f t="shared" si="2"/>
        <v>0</v>
      </c>
      <c r="AM38" s="9">
        <f t="shared" si="3"/>
        <v>0</v>
      </c>
      <c r="AN38" s="9">
        <f t="shared" si="4"/>
        <v>0</v>
      </c>
      <c r="AO38" s="9">
        <f t="shared" si="5"/>
        <v>0</v>
      </c>
    </row>
    <row r="39" hidden="1" spans="2:41">
      <c r="B39" s="8" t="s">
        <v>52</v>
      </c>
      <c r="C39" s="8" t="s">
        <v>13</v>
      </c>
      <c r="D39" s="9" t="s">
        <v>11</v>
      </c>
      <c r="E39" s="9"/>
      <c r="F39" s="9"/>
      <c r="G39" s="9"/>
      <c r="H39" s="9"/>
      <c r="I39" s="9"/>
      <c r="J39" s="9" t="s">
        <v>11</v>
      </c>
      <c r="K39" s="9" t="s">
        <v>11</v>
      </c>
      <c r="L39" s="9"/>
      <c r="M39" s="9"/>
      <c r="N39" s="9"/>
      <c r="O39" s="9"/>
      <c r="P39" s="9"/>
      <c r="Q39" s="9" t="s">
        <v>11</v>
      </c>
      <c r="R39" s="9" t="s">
        <v>11</v>
      </c>
      <c r="S39" s="9"/>
      <c r="T39" s="9"/>
      <c r="U39" s="9"/>
      <c r="V39" s="9"/>
      <c r="W39" s="9"/>
      <c r="X39" s="9" t="s">
        <v>11</v>
      </c>
      <c r="Y39" s="9" t="s">
        <v>11</v>
      </c>
      <c r="Z39" s="9"/>
      <c r="AA39" s="9"/>
      <c r="AB39" s="9"/>
      <c r="AC39" s="9"/>
      <c r="AD39" s="9"/>
      <c r="AE39" s="9" t="s">
        <v>11</v>
      </c>
      <c r="AF39" s="9"/>
      <c r="AG39" s="9"/>
      <c r="AH39" s="9"/>
      <c r="AI39" s="1"/>
      <c r="AJ39" s="9">
        <f t="shared" si="0"/>
        <v>0</v>
      </c>
      <c r="AK39" s="9">
        <f t="shared" si="1"/>
        <v>0</v>
      </c>
      <c r="AL39" s="9">
        <f t="shared" si="2"/>
        <v>0</v>
      </c>
      <c r="AM39" s="9">
        <f t="shared" si="3"/>
        <v>0</v>
      </c>
      <c r="AN39" s="9">
        <f t="shared" si="4"/>
        <v>0</v>
      </c>
      <c r="AO39" s="9">
        <f t="shared" si="5"/>
        <v>0</v>
      </c>
    </row>
    <row r="40" hidden="1" spans="2:41">
      <c r="B40" s="8" t="s">
        <v>53</v>
      </c>
      <c r="C40" s="8" t="s">
        <v>21</v>
      </c>
      <c r="D40" s="9" t="s">
        <v>11</v>
      </c>
      <c r="E40" s="9"/>
      <c r="F40" s="9"/>
      <c r="G40" s="9"/>
      <c r="H40" s="9"/>
      <c r="I40" s="9"/>
      <c r="J40" s="9" t="s">
        <v>11</v>
      </c>
      <c r="K40" s="9" t="s">
        <v>11</v>
      </c>
      <c r="L40" s="9"/>
      <c r="M40" s="9"/>
      <c r="N40" s="9"/>
      <c r="O40" s="9"/>
      <c r="P40" s="9"/>
      <c r="Q40" s="9" t="s">
        <v>11</v>
      </c>
      <c r="R40" s="9" t="s">
        <v>11</v>
      </c>
      <c r="S40" s="9"/>
      <c r="T40" s="9"/>
      <c r="U40" s="9"/>
      <c r="V40" s="9"/>
      <c r="W40" s="9"/>
      <c r="X40" s="9" t="s">
        <v>11</v>
      </c>
      <c r="Y40" s="9" t="s">
        <v>11</v>
      </c>
      <c r="Z40" s="9"/>
      <c r="AA40" s="9"/>
      <c r="AB40" s="9"/>
      <c r="AC40" s="9"/>
      <c r="AD40" s="9"/>
      <c r="AE40" s="9" t="s">
        <v>11</v>
      </c>
      <c r="AF40" s="9"/>
      <c r="AG40" s="9"/>
      <c r="AH40" s="9"/>
      <c r="AI40" s="1"/>
      <c r="AJ40" s="9">
        <f t="shared" si="0"/>
        <v>0</v>
      </c>
      <c r="AK40" s="9">
        <f t="shared" si="1"/>
        <v>0</v>
      </c>
      <c r="AL40" s="9">
        <f t="shared" si="2"/>
        <v>0</v>
      </c>
      <c r="AM40" s="9">
        <f t="shared" si="3"/>
        <v>0</v>
      </c>
      <c r="AN40" s="9">
        <f t="shared" si="4"/>
        <v>0</v>
      </c>
      <c r="AO40" s="9">
        <f t="shared" si="5"/>
        <v>0</v>
      </c>
    </row>
    <row r="41" hidden="1" spans="2:41">
      <c r="B41" s="8" t="s">
        <v>54</v>
      </c>
      <c r="C41" s="8" t="s">
        <v>10</v>
      </c>
      <c r="D41" s="9" t="s">
        <v>11</v>
      </c>
      <c r="E41" s="9"/>
      <c r="F41" s="9"/>
      <c r="G41" s="9"/>
      <c r="H41" s="9"/>
      <c r="I41" s="9"/>
      <c r="J41" s="9" t="s">
        <v>11</v>
      </c>
      <c r="K41" s="9" t="s">
        <v>11</v>
      </c>
      <c r="L41" s="9"/>
      <c r="M41" s="9"/>
      <c r="N41" s="9"/>
      <c r="O41" s="9"/>
      <c r="P41" s="9"/>
      <c r="Q41" s="9" t="s">
        <v>11</v>
      </c>
      <c r="R41" s="9" t="s">
        <v>11</v>
      </c>
      <c r="S41" s="9"/>
      <c r="T41" s="9"/>
      <c r="U41" s="9"/>
      <c r="V41" s="9"/>
      <c r="W41" s="9"/>
      <c r="X41" s="9" t="s">
        <v>11</v>
      </c>
      <c r="Y41" s="9" t="s">
        <v>11</v>
      </c>
      <c r="Z41" s="9"/>
      <c r="AA41" s="9"/>
      <c r="AB41" s="9"/>
      <c r="AC41" s="9"/>
      <c r="AD41" s="9"/>
      <c r="AE41" s="9" t="s">
        <v>11</v>
      </c>
      <c r="AF41" s="9"/>
      <c r="AG41" s="9"/>
      <c r="AH41" s="9"/>
      <c r="AI41" s="1"/>
      <c r="AJ41" s="9">
        <f t="shared" si="0"/>
        <v>0</v>
      </c>
      <c r="AK41" s="9">
        <f t="shared" si="1"/>
        <v>0</v>
      </c>
      <c r="AL41" s="9">
        <f t="shared" si="2"/>
        <v>0</v>
      </c>
      <c r="AM41" s="9">
        <f t="shared" si="3"/>
        <v>0</v>
      </c>
      <c r="AN41" s="9">
        <f t="shared" si="4"/>
        <v>0</v>
      </c>
      <c r="AO41" s="9">
        <f t="shared" si="5"/>
        <v>0</v>
      </c>
    </row>
    <row r="42" hidden="1" spans="2:41">
      <c r="B42" s="8" t="s">
        <v>55</v>
      </c>
      <c r="C42" s="8" t="s">
        <v>17</v>
      </c>
      <c r="D42" s="9" t="s">
        <v>11</v>
      </c>
      <c r="E42" s="9"/>
      <c r="F42" s="9"/>
      <c r="G42" s="9"/>
      <c r="H42" s="9"/>
      <c r="I42" s="9"/>
      <c r="J42" s="9" t="s">
        <v>11</v>
      </c>
      <c r="K42" s="9" t="s">
        <v>11</v>
      </c>
      <c r="L42" s="9"/>
      <c r="M42" s="9"/>
      <c r="N42" s="9"/>
      <c r="O42" s="9"/>
      <c r="P42" s="9"/>
      <c r="Q42" s="9" t="s">
        <v>11</v>
      </c>
      <c r="R42" s="9" t="s">
        <v>11</v>
      </c>
      <c r="S42" s="9"/>
      <c r="T42" s="9"/>
      <c r="U42" s="9"/>
      <c r="V42" s="9"/>
      <c r="W42" s="9"/>
      <c r="X42" s="9" t="s">
        <v>11</v>
      </c>
      <c r="Y42" s="9" t="s">
        <v>11</v>
      </c>
      <c r="Z42" s="9"/>
      <c r="AA42" s="9"/>
      <c r="AB42" s="9"/>
      <c r="AC42" s="9"/>
      <c r="AD42" s="9"/>
      <c r="AE42" s="9" t="s">
        <v>11</v>
      </c>
      <c r="AF42" s="9"/>
      <c r="AG42" s="9"/>
      <c r="AH42" s="9"/>
      <c r="AI42" s="1"/>
      <c r="AJ42" s="9">
        <f t="shared" si="0"/>
        <v>0</v>
      </c>
      <c r="AK42" s="9">
        <f t="shared" si="1"/>
        <v>0</v>
      </c>
      <c r="AL42" s="9">
        <f t="shared" si="2"/>
        <v>0</v>
      </c>
      <c r="AM42" s="9">
        <f t="shared" si="3"/>
        <v>0</v>
      </c>
      <c r="AN42" s="9">
        <f t="shared" si="4"/>
        <v>0</v>
      </c>
      <c r="AO42" s="9">
        <f t="shared" si="5"/>
        <v>0</v>
      </c>
    </row>
    <row r="43" hidden="1" spans="2:41">
      <c r="B43" s="8" t="s">
        <v>56</v>
      </c>
      <c r="C43" s="8" t="s">
        <v>10</v>
      </c>
      <c r="D43" s="9" t="s">
        <v>11</v>
      </c>
      <c r="E43" s="9"/>
      <c r="F43" s="9"/>
      <c r="G43" s="9"/>
      <c r="H43" s="9"/>
      <c r="I43" s="9"/>
      <c r="J43" s="9" t="s">
        <v>11</v>
      </c>
      <c r="K43" s="9" t="s">
        <v>11</v>
      </c>
      <c r="L43" s="9"/>
      <c r="M43" s="9"/>
      <c r="N43" s="9"/>
      <c r="O43" s="9"/>
      <c r="P43" s="9"/>
      <c r="Q43" s="9" t="s">
        <v>11</v>
      </c>
      <c r="R43" s="9" t="s">
        <v>11</v>
      </c>
      <c r="S43" s="9"/>
      <c r="T43" s="9"/>
      <c r="U43" s="9"/>
      <c r="V43" s="9"/>
      <c r="W43" s="9"/>
      <c r="X43" s="9" t="s">
        <v>11</v>
      </c>
      <c r="Y43" s="9" t="s">
        <v>11</v>
      </c>
      <c r="Z43" s="9"/>
      <c r="AA43" s="9"/>
      <c r="AB43" s="9"/>
      <c r="AC43" s="9"/>
      <c r="AD43" s="9"/>
      <c r="AE43" s="9" t="s">
        <v>11</v>
      </c>
      <c r="AF43" s="9"/>
      <c r="AG43" s="9"/>
      <c r="AH43" s="9"/>
      <c r="AI43" s="1"/>
      <c r="AJ43" s="9">
        <f t="shared" si="0"/>
        <v>0</v>
      </c>
      <c r="AK43" s="9">
        <f t="shared" si="1"/>
        <v>0</v>
      </c>
      <c r="AL43" s="9">
        <f t="shared" si="2"/>
        <v>0</v>
      </c>
      <c r="AM43" s="9">
        <f t="shared" si="3"/>
        <v>0</v>
      </c>
      <c r="AN43" s="9">
        <f t="shared" si="4"/>
        <v>0</v>
      </c>
      <c r="AO43" s="9">
        <f t="shared" si="5"/>
        <v>0</v>
      </c>
    </row>
    <row r="44" hidden="1" spans="2:41">
      <c r="B44" s="8" t="s">
        <v>57</v>
      </c>
      <c r="C44" s="8" t="s">
        <v>10</v>
      </c>
      <c r="D44" s="9" t="s">
        <v>11</v>
      </c>
      <c r="E44" s="9"/>
      <c r="F44" s="9"/>
      <c r="G44" s="9"/>
      <c r="H44" s="9"/>
      <c r="I44" s="9"/>
      <c r="J44" s="9" t="s">
        <v>11</v>
      </c>
      <c r="K44" s="9" t="s">
        <v>11</v>
      </c>
      <c r="L44" s="9"/>
      <c r="M44" s="9"/>
      <c r="N44" s="9"/>
      <c r="O44" s="9"/>
      <c r="P44" s="9"/>
      <c r="Q44" s="9" t="s">
        <v>11</v>
      </c>
      <c r="R44" s="9" t="s">
        <v>11</v>
      </c>
      <c r="S44" s="9"/>
      <c r="T44" s="9"/>
      <c r="U44" s="9"/>
      <c r="V44" s="9"/>
      <c r="W44" s="9"/>
      <c r="X44" s="9" t="s">
        <v>11</v>
      </c>
      <c r="Y44" s="9" t="s">
        <v>11</v>
      </c>
      <c r="Z44" s="9"/>
      <c r="AA44" s="9"/>
      <c r="AB44" s="9"/>
      <c r="AC44" s="9"/>
      <c r="AD44" s="9"/>
      <c r="AE44" s="9" t="s">
        <v>11</v>
      </c>
      <c r="AF44" s="9"/>
      <c r="AG44" s="9"/>
      <c r="AH44" s="9"/>
      <c r="AI44" s="1"/>
      <c r="AJ44" s="9">
        <f t="shared" si="0"/>
        <v>0</v>
      </c>
      <c r="AK44" s="9">
        <f t="shared" si="1"/>
        <v>0</v>
      </c>
      <c r="AL44" s="9">
        <f t="shared" si="2"/>
        <v>0</v>
      </c>
      <c r="AM44" s="9">
        <f t="shared" si="3"/>
        <v>0</v>
      </c>
      <c r="AN44" s="9">
        <f t="shared" si="4"/>
        <v>0</v>
      </c>
      <c r="AO44" s="9">
        <f t="shared" si="5"/>
        <v>0</v>
      </c>
    </row>
    <row r="45" hidden="1" spans="2:41">
      <c r="B45" s="8" t="s">
        <v>58</v>
      </c>
      <c r="C45" s="8" t="s">
        <v>17</v>
      </c>
      <c r="D45" s="9" t="s">
        <v>11</v>
      </c>
      <c r="E45" s="9"/>
      <c r="F45" s="9"/>
      <c r="G45" s="9"/>
      <c r="H45" s="9"/>
      <c r="I45" s="9"/>
      <c r="J45" s="9" t="s">
        <v>11</v>
      </c>
      <c r="K45" s="9" t="s">
        <v>11</v>
      </c>
      <c r="L45" s="9"/>
      <c r="M45" s="9"/>
      <c r="N45" s="9"/>
      <c r="O45" s="9"/>
      <c r="P45" s="9"/>
      <c r="Q45" s="9" t="s">
        <v>11</v>
      </c>
      <c r="R45" s="9" t="s">
        <v>11</v>
      </c>
      <c r="S45" s="9"/>
      <c r="T45" s="9"/>
      <c r="U45" s="9"/>
      <c r="V45" s="9"/>
      <c r="W45" s="9"/>
      <c r="X45" s="9" t="s">
        <v>11</v>
      </c>
      <c r="Y45" s="9" t="s">
        <v>11</v>
      </c>
      <c r="Z45" s="9"/>
      <c r="AA45" s="9"/>
      <c r="AB45" s="9"/>
      <c r="AC45" s="9"/>
      <c r="AD45" s="9"/>
      <c r="AE45" s="9" t="s">
        <v>11</v>
      </c>
      <c r="AF45" s="9"/>
      <c r="AG45" s="9"/>
      <c r="AH45" s="9"/>
      <c r="AI45" s="1"/>
      <c r="AJ45" s="9">
        <f t="shared" si="0"/>
        <v>0</v>
      </c>
      <c r="AK45" s="9">
        <f t="shared" si="1"/>
        <v>0</v>
      </c>
      <c r="AL45" s="9">
        <f t="shared" si="2"/>
        <v>0</v>
      </c>
      <c r="AM45" s="9">
        <f t="shared" si="3"/>
        <v>0</v>
      </c>
      <c r="AN45" s="9">
        <f t="shared" si="4"/>
        <v>0</v>
      </c>
      <c r="AO45" s="9">
        <f t="shared" si="5"/>
        <v>0</v>
      </c>
    </row>
    <row r="46" hidden="1" spans="2:41">
      <c r="B46" s="8" t="s">
        <v>59</v>
      </c>
      <c r="C46" s="8" t="s">
        <v>10</v>
      </c>
      <c r="D46" s="9" t="s">
        <v>11</v>
      </c>
      <c r="E46" s="9"/>
      <c r="F46" s="9"/>
      <c r="G46" s="9"/>
      <c r="H46" s="9"/>
      <c r="I46" s="9"/>
      <c r="J46" s="9" t="s">
        <v>11</v>
      </c>
      <c r="K46" s="9" t="s">
        <v>11</v>
      </c>
      <c r="L46" s="9"/>
      <c r="M46" s="9"/>
      <c r="N46" s="9"/>
      <c r="O46" s="9"/>
      <c r="P46" s="9"/>
      <c r="Q46" s="9" t="s">
        <v>11</v>
      </c>
      <c r="R46" s="9" t="s">
        <v>11</v>
      </c>
      <c r="S46" s="9"/>
      <c r="T46" s="9"/>
      <c r="U46" s="9"/>
      <c r="V46" s="9"/>
      <c r="W46" s="9"/>
      <c r="X46" s="9" t="s">
        <v>11</v>
      </c>
      <c r="Y46" s="9" t="s">
        <v>11</v>
      </c>
      <c r="Z46" s="9"/>
      <c r="AA46" s="9"/>
      <c r="AB46" s="9"/>
      <c r="AC46" s="9"/>
      <c r="AD46" s="9"/>
      <c r="AE46" s="9" t="s">
        <v>11</v>
      </c>
      <c r="AF46" s="9"/>
      <c r="AG46" s="9"/>
      <c r="AH46" s="9"/>
      <c r="AI46" s="1"/>
      <c r="AJ46" s="9">
        <f t="shared" si="0"/>
        <v>0</v>
      </c>
      <c r="AK46" s="9">
        <f t="shared" si="1"/>
        <v>0</v>
      </c>
      <c r="AL46" s="9">
        <f t="shared" si="2"/>
        <v>0</v>
      </c>
      <c r="AM46" s="9">
        <f t="shared" si="3"/>
        <v>0</v>
      </c>
      <c r="AN46" s="9">
        <f t="shared" si="4"/>
        <v>0</v>
      </c>
      <c r="AO46" s="9">
        <f t="shared" si="5"/>
        <v>0</v>
      </c>
    </row>
    <row r="47" hidden="1" spans="2:41">
      <c r="B47" s="8" t="s">
        <v>60</v>
      </c>
      <c r="C47" s="8" t="s">
        <v>17</v>
      </c>
      <c r="D47" s="9" t="s">
        <v>11</v>
      </c>
      <c r="E47" s="9"/>
      <c r="F47" s="9"/>
      <c r="G47" s="9"/>
      <c r="H47" s="9"/>
      <c r="I47" s="9"/>
      <c r="J47" s="9" t="s">
        <v>11</v>
      </c>
      <c r="K47" s="9" t="s">
        <v>11</v>
      </c>
      <c r="L47" s="9"/>
      <c r="M47" s="9"/>
      <c r="N47" s="9"/>
      <c r="O47" s="9"/>
      <c r="P47" s="9"/>
      <c r="Q47" s="9" t="s">
        <v>11</v>
      </c>
      <c r="R47" s="9" t="s">
        <v>11</v>
      </c>
      <c r="S47" s="9"/>
      <c r="T47" s="9"/>
      <c r="U47" s="9"/>
      <c r="V47" s="9"/>
      <c r="W47" s="9"/>
      <c r="X47" s="9" t="s">
        <v>11</v>
      </c>
      <c r="Y47" s="9" t="s">
        <v>11</v>
      </c>
      <c r="Z47" s="9"/>
      <c r="AA47" s="9"/>
      <c r="AB47" s="9"/>
      <c r="AC47" s="9"/>
      <c r="AD47" s="9"/>
      <c r="AE47" s="9" t="s">
        <v>11</v>
      </c>
      <c r="AF47" s="9"/>
      <c r="AG47" s="9"/>
      <c r="AH47" s="9"/>
      <c r="AI47" s="1"/>
      <c r="AJ47" s="9">
        <f t="shared" si="0"/>
        <v>0</v>
      </c>
      <c r="AK47" s="9">
        <f t="shared" si="1"/>
        <v>0</v>
      </c>
      <c r="AL47" s="9">
        <f t="shared" si="2"/>
        <v>0</v>
      </c>
      <c r="AM47" s="9">
        <f t="shared" si="3"/>
        <v>0</v>
      </c>
      <c r="AN47" s="9">
        <f t="shared" si="4"/>
        <v>0</v>
      </c>
      <c r="AO47" s="9">
        <f t="shared" si="5"/>
        <v>0</v>
      </c>
    </row>
    <row r="48" hidden="1" spans="2:41">
      <c r="B48" s="8" t="s">
        <v>61</v>
      </c>
      <c r="C48" s="8" t="s">
        <v>15</v>
      </c>
      <c r="D48" s="9" t="s">
        <v>11</v>
      </c>
      <c r="E48" s="9"/>
      <c r="F48" s="9"/>
      <c r="G48" s="9"/>
      <c r="H48" s="9"/>
      <c r="I48" s="9"/>
      <c r="J48" s="9" t="s">
        <v>11</v>
      </c>
      <c r="K48" s="9" t="s">
        <v>11</v>
      </c>
      <c r="L48" s="9"/>
      <c r="M48" s="9"/>
      <c r="N48" s="9"/>
      <c r="O48" s="9"/>
      <c r="P48" s="9"/>
      <c r="Q48" s="9" t="s">
        <v>11</v>
      </c>
      <c r="R48" s="9" t="s">
        <v>11</v>
      </c>
      <c r="S48" s="9"/>
      <c r="T48" s="9"/>
      <c r="U48" s="9"/>
      <c r="V48" s="9"/>
      <c r="W48" s="9"/>
      <c r="X48" s="9" t="s">
        <v>11</v>
      </c>
      <c r="Y48" s="9" t="s">
        <v>11</v>
      </c>
      <c r="Z48" s="9"/>
      <c r="AA48" s="9"/>
      <c r="AB48" s="9"/>
      <c r="AC48" s="9"/>
      <c r="AD48" s="9"/>
      <c r="AE48" s="9" t="s">
        <v>11</v>
      </c>
      <c r="AF48" s="9"/>
      <c r="AG48" s="9"/>
      <c r="AH48" s="9"/>
      <c r="AI48" s="1"/>
      <c r="AJ48" s="9">
        <f t="shared" si="0"/>
        <v>0</v>
      </c>
      <c r="AK48" s="9">
        <f t="shared" si="1"/>
        <v>0</v>
      </c>
      <c r="AL48" s="9">
        <f t="shared" si="2"/>
        <v>0</v>
      </c>
      <c r="AM48" s="9">
        <f t="shared" si="3"/>
        <v>0</v>
      </c>
      <c r="AN48" s="9">
        <f t="shared" si="4"/>
        <v>0</v>
      </c>
      <c r="AO48" s="9">
        <f t="shared" si="5"/>
        <v>0</v>
      </c>
    </row>
    <row r="49" hidden="1" spans="2:41">
      <c r="B49" s="8" t="s">
        <v>62</v>
      </c>
      <c r="C49" s="8" t="s">
        <v>13</v>
      </c>
      <c r="D49" s="9" t="s">
        <v>11</v>
      </c>
      <c r="E49" s="9"/>
      <c r="F49" s="9"/>
      <c r="G49" s="9"/>
      <c r="H49" s="9"/>
      <c r="I49" s="9"/>
      <c r="J49" s="9" t="s">
        <v>11</v>
      </c>
      <c r="K49" s="9" t="s">
        <v>11</v>
      </c>
      <c r="L49" s="9"/>
      <c r="M49" s="9"/>
      <c r="N49" s="9"/>
      <c r="O49" s="9"/>
      <c r="P49" s="9"/>
      <c r="Q49" s="9" t="s">
        <v>11</v>
      </c>
      <c r="R49" s="9" t="s">
        <v>11</v>
      </c>
      <c r="S49" s="9"/>
      <c r="T49" s="9"/>
      <c r="U49" s="9"/>
      <c r="V49" s="9"/>
      <c r="W49" s="9"/>
      <c r="X49" s="9" t="s">
        <v>11</v>
      </c>
      <c r="Y49" s="9" t="s">
        <v>11</v>
      </c>
      <c r="Z49" s="9"/>
      <c r="AA49" s="9"/>
      <c r="AB49" s="9"/>
      <c r="AC49" s="9"/>
      <c r="AD49" s="9"/>
      <c r="AE49" s="9" t="s">
        <v>11</v>
      </c>
      <c r="AF49" s="9"/>
      <c r="AG49" s="9"/>
      <c r="AH49" s="9"/>
      <c r="AI49" s="1"/>
      <c r="AJ49" s="9">
        <f t="shared" si="0"/>
        <v>0</v>
      </c>
      <c r="AK49" s="9">
        <f t="shared" si="1"/>
        <v>0</v>
      </c>
      <c r="AL49" s="9">
        <f t="shared" si="2"/>
        <v>0</v>
      </c>
      <c r="AM49" s="9">
        <f t="shared" si="3"/>
        <v>0</v>
      </c>
      <c r="AN49" s="9">
        <f t="shared" si="4"/>
        <v>0</v>
      </c>
      <c r="AO49" s="9">
        <f t="shared" si="5"/>
        <v>0</v>
      </c>
    </row>
    <row r="50" hidden="1" spans="2:41">
      <c r="B50" s="8" t="s">
        <v>63</v>
      </c>
      <c r="C50" s="8" t="s">
        <v>10</v>
      </c>
      <c r="D50" s="9" t="s">
        <v>11</v>
      </c>
      <c r="E50" s="9"/>
      <c r="F50" s="9"/>
      <c r="G50" s="9"/>
      <c r="H50" s="9"/>
      <c r="I50" s="9"/>
      <c r="J50" s="9" t="s">
        <v>11</v>
      </c>
      <c r="K50" s="9" t="s">
        <v>11</v>
      </c>
      <c r="L50" s="9"/>
      <c r="M50" s="9"/>
      <c r="N50" s="9"/>
      <c r="O50" s="9"/>
      <c r="P50" s="9"/>
      <c r="Q50" s="9" t="s">
        <v>11</v>
      </c>
      <c r="R50" s="9" t="s">
        <v>11</v>
      </c>
      <c r="S50" s="9"/>
      <c r="T50" s="9"/>
      <c r="U50" s="9"/>
      <c r="V50" s="9"/>
      <c r="W50" s="9"/>
      <c r="X50" s="9" t="s">
        <v>11</v>
      </c>
      <c r="Y50" s="9" t="s">
        <v>11</v>
      </c>
      <c r="Z50" s="9"/>
      <c r="AA50" s="9"/>
      <c r="AB50" s="9"/>
      <c r="AC50" s="9"/>
      <c r="AD50" s="9"/>
      <c r="AE50" s="9" t="s">
        <v>11</v>
      </c>
      <c r="AF50" s="9"/>
      <c r="AG50" s="9"/>
      <c r="AH50" s="9"/>
      <c r="AI50" s="1"/>
      <c r="AJ50" s="9">
        <f t="shared" si="0"/>
        <v>0</v>
      </c>
      <c r="AK50" s="9">
        <f t="shared" si="1"/>
        <v>0</v>
      </c>
      <c r="AL50" s="9">
        <f t="shared" si="2"/>
        <v>0</v>
      </c>
      <c r="AM50" s="9">
        <f t="shared" si="3"/>
        <v>0</v>
      </c>
      <c r="AN50" s="9">
        <f t="shared" si="4"/>
        <v>0</v>
      </c>
      <c r="AO50" s="9">
        <f t="shared" si="5"/>
        <v>0</v>
      </c>
    </row>
    <row r="51" hidden="1" spans="2:41">
      <c r="B51" s="8" t="s">
        <v>64</v>
      </c>
      <c r="C51" s="8" t="s">
        <v>17</v>
      </c>
      <c r="D51" s="9" t="s">
        <v>11</v>
      </c>
      <c r="E51" s="9"/>
      <c r="F51" s="9"/>
      <c r="G51" s="9"/>
      <c r="H51" s="9"/>
      <c r="I51" s="9"/>
      <c r="J51" s="9" t="s">
        <v>11</v>
      </c>
      <c r="K51" s="9" t="s">
        <v>11</v>
      </c>
      <c r="L51" s="9"/>
      <c r="M51" s="9"/>
      <c r="N51" s="9"/>
      <c r="O51" s="9"/>
      <c r="P51" s="9"/>
      <c r="Q51" s="9" t="s">
        <v>11</v>
      </c>
      <c r="R51" s="9" t="s">
        <v>11</v>
      </c>
      <c r="S51" s="9"/>
      <c r="T51" s="9"/>
      <c r="U51" s="9"/>
      <c r="V51" s="9"/>
      <c r="W51" s="9"/>
      <c r="X51" s="9" t="s">
        <v>11</v>
      </c>
      <c r="Y51" s="9" t="s">
        <v>11</v>
      </c>
      <c r="Z51" s="9"/>
      <c r="AA51" s="9"/>
      <c r="AB51" s="9"/>
      <c r="AC51" s="9"/>
      <c r="AD51" s="9"/>
      <c r="AE51" s="9" t="s">
        <v>11</v>
      </c>
      <c r="AF51" s="9"/>
      <c r="AG51" s="9"/>
      <c r="AH51" s="9"/>
      <c r="AI51" s="1"/>
      <c r="AJ51" s="9">
        <f t="shared" si="0"/>
        <v>0</v>
      </c>
      <c r="AK51" s="9">
        <f t="shared" si="1"/>
        <v>0</v>
      </c>
      <c r="AL51" s="9">
        <f t="shared" si="2"/>
        <v>0</v>
      </c>
      <c r="AM51" s="9">
        <f t="shared" si="3"/>
        <v>0</v>
      </c>
      <c r="AN51" s="9">
        <f t="shared" si="4"/>
        <v>0</v>
      </c>
      <c r="AO51" s="9">
        <f t="shared" si="5"/>
        <v>0</v>
      </c>
    </row>
    <row r="52" hidden="1" spans="2:41">
      <c r="B52" s="8" t="s">
        <v>65</v>
      </c>
      <c r="C52" s="8" t="s">
        <v>13</v>
      </c>
      <c r="D52" s="9" t="s">
        <v>11</v>
      </c>
      <c r="E52" s="9"/>
      <c r="F52" s="9"/>
      <c r="G52" s="9"/>
      <c r="H52" s="9"/>
      <c r="I52" s="9"/>
      <c r="J52" s="9" t="s">
        <v>11</v>
      </c>
      <c r="K52" s="9" t="s">
        <v>11</v>
      </c>
      <c r="L52" s="9"/>
      <c r="M52" s="9"/>
      <c r="N52" s="9"/>
      <c r="O52" s="9"/>
      <c r="P52" s="9"/>
      <c r="Q52" s="9" t="s">
        <v>11</v>
      </c>
      <c r="R52" s="9" t="s">
        <v>11</v>
      </c>
      <c r="S52" s="9"/>
      <c r="T52" s="9"/>
      <c r="U52" s="9"/>
      <c r="V52" s="9"/>
      <c r="W52" s="9"/>
      <c r="X52" s="9" t="s">
        <v>11</v>
      </c>
      <c r="Y52" s="9" t="s">
        <v>11</v>
      </c>
      <c r="Z52" s="9"/>
      <c r="AA52" s="9"/>
      <c r="AB52" s="9"/>
      <c r="AC52" s="9"/>
      <c r="AD52" s="9"/>
      <c r="AE52" s="9" t="s">
        <v>11</v>
      </c>
      <c r="AF52" s="9"/>
      <c r="AG52" s="9"/>
      <c r="AH52" s="9"/>
      <c r="AI52" s="1"/>
      <c r="AJ52" s="9">
        <f t="shared" si="0"/>
        <v>0</v>
      </c>
      <c r="AK52" s="9">
        <f t="shared" si="1"/>
        <v>0</v>
      </c>
      <c r="AL52" s="9">
        <f t="shared" si="2"/>
        <v>0</v>
      </c>
      <c r="AM52" s="9">
        <f t="shared" si="3"/>
        <v>0</v>
      </c>
      <c r="AN52" s="9">
        <f t="shared" si="4"/>
        <v>0</v>
      </c>
      <c r="AO52" s="9">
        <f t="shared" si="5"/>
        <v>0</v>
      </c>
    </row>
    <row r="53" hidden="1" spans="2:41">
      <c r="B53" s="8" t="s">
        <v>66</v>
      </c>
      <c r="C53" s="8" t="s">
        <v>10</v>
      </c>
      <c r="D53" s="9" t="s">
        <v>11</v>
      </c>
      <c r="E53" s="9"/>
      <c r="F53" s="9"/>
      <c r="G53" s="9"/>
      <c r="H53" s="9"/>
      <c r="I53" s="9"/>
      <c r="J53" s="9" t="s">
        <v>11</v>
      </c>
      <c r="K53" s="9" t="s">
        <v>11</v>
      </c>
      <c r="L53" s="9"/>
      <c r="M53" s="9"/>
      <c r="N53" s="9"/>
      <c r="O53" s="9"/>
      <c r="P53" s="9"/>
      <c r="Q53" s="9" t="s">
        <v>11</v>
      </c>
      <c r="R53" s="9" t="s">
        <v>11</v>
      </c>
      <c r="S53" s="9"/>
      <c r="T53" s="9"/>
      <c r="U53" s="9"/>
      <c r="V53" s="9"/>
      <c r="W53" s="9"/>
      <c r="X53" s="9" t="s">
        <v>11</v>
      </c>
      <c r="Y53" s="9" t="s">
        <v>11</v>
      </c>
      <c r="Z53" s="9"/>
      <c r="AA53" s="9"/>
      <c r="AB53" s="9"/>
      <c r="AC53" s="9"/>
      <c r="AD53" s="9"/>
      <c r="AE53" s="9" t="s">
        <v>11</v>
      </c>
      <c r="AF53" s="9"/>
      <c r="AG53" s="9"/>
      <c r="AH53" s="9"/>
      <c r="AI53" s="1"/>
      <c r="AJ53" s="9">
        <f t="shared" si="0"/>
        <v>0</v>
      </c>
      <c r="AK53" s="9">
        <f t="shared" si="1"/>
        <v>0</v>
      </c>
      <c r="AL53" s="9">
        <f t="shared" si="2"/>
        <v>0</v>
      </c>
      <c r="AM53" s="9">
        <f t="shared" si="3"/>
        <v>0</v>
      </c>
      <c r="AN53" s="9">
        <f t="shared" si="4"/>
        <v>0</v>
      </c>
      <c r="AO53" s="9">
        <f t="shared" si="5"/>
        <v>0</v>
      </c>
    </row>
    <row r="54" hidden="1" spans="2:41">
      <c r="B54" s="10"/>
      <c r="C54" s="11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1"/>
      <c r="AJ54" s="9">
        <f t="shared" si="0"/>
        <v>0</v>
      </c>
      <c r="AK54" s="9">
        <f t="shared" si="1"/>
        <v>0</v>
      </c>
      <c r="AL54" s="9">
        <f t="shared" si="2"/>
        <v>0</v>
      </c>
      <c r="AM54" s="9">
        <f t="shared" si="3"/>
        <v>0</v>
      </c>
      <c r="AN54" s="9">
        <f t="shared" si="4"/>
        <v>0</v>
      </c>
      <c r="AO54" s="9">
        <f t="shared" si="5"/>
        <v>0</v>
      </c>
    </row>
    <row r="55" hidden="1" spans="2:41">
      <c r="B55" s="12"/>
      <c r="C55" s="11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1"/>
      <c r="AJ55" s="9">
        <f t="shared" si="0"/>
        <v>0</v>
      </c>
      <c r="AK55" s="9">
        <f t="shared" si="1"/>
        <v>0</v>
      </c>
      <c r="AL55" s="9">
        <f t="shared" si="2"/>
        <v>0</v>
      </c>
      <c r="AM55" s="9">
        <f t="shared" si="3"/>
        <v>0</v>
      </c>
      <c r="AN55" s="9">
        <f t="shared" si="4"/>
        <v>0</v>
      </c>
      <c r="AO55" s="9">
        <f t="shared" si="5"/>
        <v>0</v>
      </c>
    </row>
    <row r="56" hidden="1" spans="2:41">
      <c r="B56" s="1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"/>
      <c r="AJ56" s="9">
        <f t="shared" si="0"/>
        <v>0</v>
      </c>
      <c r="AK56" s="9">
        <f t="shared" si="1"/>
        <v>0</v>
      </c>
      <c r="AL56" s="9">
        <f t="shared" si="2"/>
        <v>0</v>
      </c>
      <c r="AM56" s="9">
        <f t="shared" si="3"/>
        <v>0</v>
      </c>
      <c r="AN56" s="9">
        <f t="shared" si="4"/>
        <v>0</v>
      </c>
      <c r="AO56" s="9">
        <f t="shared" si="5"/>
        <v>0</v>
      </c>
    </row>
    <row r="57" hidden="1" spans="2:41"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2"/>
      <c r="AJ57" s="15"/>
      <c r="AK57" s="15"/>
      <c r="AL57" s="15"/>
      <c r="AM57" s="15"/>
      <c r="AN57" s="15"/>
      <c r="AO57" s="15"/>
    </row>
    <row r="58" hidden="1" spans="2:34">
      <c r="B58" s="16" t="s">
        <v>67</v>
      </c>
      <c r="C58" s="16"/>
      <c r="D58" s="17">
        <f t="shared" ref="D58:AH58" si="6">COUNTIF(D3:D56,"P")</f>
        <v>0</v>
      </c>
      <c r="E58" s="17">
        <f t="shared" si="6"/>
        <v>0</v>
      </c>
      <c r="F58" s="17">
        <f t="shared" si="6"/>
        <v>0</v>
      </c>
      <c r="G58" s="17">
        <f t="shared" si="6"/>
        <v>0</v>
      </c>
      <c r="H58" s="17">
        <f t="shared" si="6"/>
        <v>0</v>
      </c>
      <c r="I58" s="17">
        <f t="shared" si="6"/>
        <v>0</v>
      </c>
      <c r="J58" s="17">
        <f t="shared" si="6"/>
        <v>0</v>
      </c>
      <c r="K58" s="17">
        <f t="shared" si="6"/>
        <v>0</v>
      </c>
      <c r="L58" s="17">
        <f t="shared" si="6"/>
        <v>0</v>
      </c>
      <c r="M58" s="17">
        <f t="shared" si="6"/>
        <v>0</v>
      </c>
      <c r="N58" s="17">
        <f t="shared" si="6"/>
        <v>0</v>
      </c>
      <c r="O58" s="17">
        <f t="shared" si="6"/>
        <v>0</v>
      </c>
      <c r="P58" s="17">
        <f t="shared" si="6"/>
        <v>0</v>
      </c>
      <c r="Q58" s="17">
        <f t="shared" si="6"/>
        <v>0</v>
      </c>
      <c r="R58" s="17">
        <f t="shared" si="6"/>
        <v>0</v>
      </c>
      <c r="S58" s="17">
        <f t="shared" si="6"/>
        <v>0</v>
      </c>
      <c r="T58" s="17">
        <f t="shared" si="6"/>
        <v>0</v>
      </c>
      <c r="U58" s="17">
        <f t="shared" si="6"/>
        <v>0</v>
      </c>
      <c r="V58" s="17">
        <f t="shared" si="6"/>
        <v>0</v>
      </c>
      <c r="W58" s="17">
        <f t="shared" si="6"/>
        <v>0</v>
      </c>
      <c r="X58" s="17">
        <f t="shared" si="6"/>
        <v>0</v>
      </c>
      <c r="Y58" s="17">
        <f t="shared" si="6"/>
        <v>0</v>
      </c>
      <c r="Z58" s="17">
        <f t="shared" si="6"/>
        <v>0</v>
      </c>
      <c r="AA58" s="17">
        <f t="shared" si="6"/>
        <v>0</v>
      </c>
      <c r="AB58" s="17">
        <f t="shared" si="6"/>
        <v>0</v>
      </c>
      <c r="AC58" s="17">
        <f t="shared" si="6"/>
        <v>0</v>
      </c>
      <c r="AD58" s="17">
        <f t="shared" si="6"/>
        <v>0</v>
      </c>
      <c r="AE58" s="17">
        <f t="shared" si="6"/>
        <v>0</v>
      </c>
      <c r="AF58" s="17">
        <f t="shared" si="6"/>
        <v>0</v>
      </c>
      <c r="AG58" s="17">
        <f t="shared" si="6"/>
        <v>0</v>
      </c>
      <c r="AH58" s="17">
        <f t="shared" si="6"/>
        <v>0</v>
      </c>
    </row>
    <row r="59" hidden="1" spans="2:34">
      <c r="B59" s="16" t="s">
        <v>68</v>
      </c>
      <c r="C59" s="16"/>
      <c r="D59" s="17">
        <f t="shared" ref="D59:AH59" si="7">COUNTIF(D3:D56,"FI")</f>
        <v>0</v>
      </c>
      <c r="E59" s="17">
        <f t="shared" si="7"/>
        <v>0</v>
      </c>
      <c r="F59" s="17">
        <f t="shared" si="7"/>
        <v>0</v>
      </c>
      <c r="G59" s="17">
        <f t="shared" si="7"/>
        <v>0</v>
      </c>
      <c r="H59" s="17">
        <f t="shared" si="7"/>
        <v>0</v>
      </c>
      <c r="I59" s="17">
        <f t="shared" si="7"/>
        <v>0</v>
      </c>
      <c r="J59" s="17">
        <f t="shared" si="7"/>
        <v>0</v>
      </c>
      <c r="K59" s="17">
        <f t="shared" si="7"/>
        <v>0</v>
      </c>
      <c r="L59" s="17">
        <f t="shared" si="7"/>
        <v>0</v>
      </c>
      <c r="M59" s="17">
        <f t="shared" si="7"/>
        <v>0</v>
      </c>
      <c r="N59" s="17">
        <f t="shared" si="7"/>
        <v>0</v>
      </c>
      <c r="O59" s="17">
        <f t="shared" si="7"/>
        <v>0</v>
      </c>
      <c r="P59" s="17">
        <f t="shared" si="7"/>
        <v>0</v>
      </c>
      <c r="Q59" s="17">
        <f t="shared" si="7"/>
        <v>0</v>
      </c>
      <c r="R59" s="17">
        <f t="shared" si="7"/>
        <v>0</v>
      </c>
      <c r="S59" s="17">
        <f t="shared" si="7"/>
        <v>0</v>
      </c>
      <c r="T59" s="17">
        <f t="shared" si="7"/>
        <v>0</v>
      </c>
      <c r="U59" s="17">
        <f t="shared" si="7"/>
        <v>0</v>
      </c>
      <c r="V59" s="17">
        <f t="shared" si="7"/>
        <v>0</v>
      </c>
      <c r="W59" s="17">
        <f t="shared" si="7"/>
        <v>0</v>
      </c>
      <c r="X59" s="17">
        <f t="shared" si="7"/>
        <v>0</v>
      </c>
      <c r="Y59" s="17">
        <f t="shared" si="7"/>
        <v>0</v>
      </c>
      <c r="Z59" s="17">
        <f t="shared" si="7"/>
        <v>0</v>
      </c>
      <c r="AA59" s="17">
        <f t="shared" si="7"/>
        <v>0</v>
      </c>
      <c r="AB59" s="17">
        <f t="shared" si="7"/>
        <v>0</v>
      </c>
      <c r="AC59" s="17">
        <f t="shared" si="7"/>
        <v>0</v>
      </c>
      <c r="AD59" s="17">
        <f t="shared" si="7"/>
        <v>0</v>
      </c>
      <c r="AE59" s="17">
        <f t="shared" si="7"/>
        <v>0</v>
      </c>
      <c r="AF59" s="17">
        <f t="shared" si="7"/>
        <v>0</v>
      </c>
      <c r="AG59" s="17">
        <f t="shared" si="7"/>
        <v>0</v>
      </c>
      <c r="AH59" s="17">
        <f t="shared" si="7"/>
        <v>0</v>
      </c>
    </row>
    <row r="60" hidden="1" spans="2:34">
      <c r="B60" s="16" t="s">
        <v>69</v>
      </c>
      <c r="C60" s="16"/>
      <c r="D60" s="17">
        <f t="shared" ref="D60:AH60" si="8">COUNTIF(D3:D56,"FE")</f>
        <v>1</v>
      </c>
      <c r="E60" s="17">
        <f t="shared" si="8"/>
        <v>1</v>
      </c>
      <c r="F60" s="17">
        <f t="shared" si="8"/>
        <v>1</v>
      </c>
      <c r="G60" s="17">
        <f t="shared" si="8"/>
        <v>0</v>
      </c>
      <c r="H60" s="17">
        <f t="shared" si="8"/>
        <v>0</v>
      </c>
      <c r="I60" s="17">
        <f t="shared" si="8"/>
        <v>0</v>
      </c>
      <c r="J60" s="17">
        <f t="shared" si="8"/>
        <v>0</v>
      </c>
      <c r="K60" s="17">
        <f t="shared" si="8"/>
        <v>0</v>
      </c>
      <c r="L60" s="17">
        <f t="shared" si="8"/>
        <v>0</v>
      </c>
      <c r="M60" s="17">
        <f t="shared" si="8"/>
        <v>0</v>
      </c>
      <c r="N60" s="17">
        <f t="shared" si="8"/>
        <v>0</v>
      </c>
      <c r="O60" s="17">
        <f t="shared" si="8"/>
        <v>0</v>
      </c>
      <c r="P60" s="17">
        <f t="shared" si="8"/>
        <v>0</v>
      </c>
      <c r="Q60" s="17">
        <f t="shared" si="8"/>
        <v>0</v>
      </c>
      <c r="R60" s="17">
        <f t="shared" si="8"/>
        <v>0</v>
      </c>
      <c r="S60" s="17">
        <f t="shared" si="8"/>
        <v>0</v>
      </c>
      <c r="T60" s="17">
        <f t="shared" si="8"/>
        <v>0</v>
      </c>
      <c r="U60" s="17">
        <f t="shared" si="8"/>
        <v>0</v>
      </c>
      <c r="V60" s="17">
        <f t="shared" si="8"/>
        <v>0</v>
      </c>
      <c r="W60" s="17">
        <f t="shared" si="8"/>
        <v>0</v>
      </c>
      <c r="X60" s="17">
        <f t="shared" si="8"/>
        <v>0</v>
      </c>
      <c r="Y60" s="17">
        <f t="shared" si="8"/>
        <v>0</v>
      </c>
      <c r="Z60" s="17">
        <f t="shared" si="8"/>
        <v>0</v>
      </c>
      <c r="AA60" s="17">
        <f t="shared" si="8"/>
        <v>0</v>
      </c>
      <c r="AB60" s="17">
        <f t="shared" si="8"/>
        <v>0</v>
      </c>
      <c r="AC60" s="17">
        <f t="shared" si="8"/>
        <v>0</v>
      </c>
      <c r="AD60" s="17">
        <f t="shared" si="8"/>
        <v>0</v>
      </c>
      <c r="AE60" s="17">
        <f t="shared" si="8"/>
        <v>0</v>
      </c>
      <c r="AF60" s="17">
        <f t="shared" si="8"/>
        <v>0</v>
      </c>
      <c r="AG60" s="17">
        <f t="shared" si="8"/>
        <v>0</v>
      </c>
      <c r="AH60" s="17">
        <f t="shared" si="8"/>
        <v>0</v>
      </c>
    </row>
    <row r="61" hidden="1" spans="2:34">
      <c r="B61" s="16" t="s">
        <v>70</v>
      </c>
      <c r="C61" s="16"/>
      <c r="D61" s="17">
        <f t="shared" ref="D61:AH61" si="9">COUNTIF(D3:D56,"FJ")</f>
        <v>0</v>
      </c>
      <c r="E61" s="17">
        <f t="shared" si="9"/>
        <v>0</v>
      </c>
      <c r="F61" s="17">
        <f t="shared" si="9"/>
        <v>0</v>
      </c>
      <c r="G61" s="17">
        <f t="shared" si="9"/>
        <v>0</v>
      </c>
      <c r="H61" s="17">
        <f t="shared" si="9"/>
        <v>0</v>
      </c>
      <c r="I61" s="17">
        <f t="shared" si="9"/>
        <v>0</v>
      </c>
      <c r="J61" s="17">
        <f t="shared" si="9"/>
        <v>0</v>
      </c>
      <c r="K61" s="17">
        <f t="shared" si="9"/>
        <v>0</v>
      </c>
      <c r="L61" s="17">
        <f t="shared" si="9"/>
        <v>0</v>
      </c>
      <c r="M61" s="17">
        <f t="shared" si="9"/>
        <v>0</v>
      </c>
      <c r="N61" s="17">
        <f t="shared" si="9"/>
        <v>0</v>
      </c>
      <c r="O61" s="17">
        <f t="shared" si="9"/>
        <v>0</v>
      </c>
      <c r="P61" s="17">
        <f t="shared" si="9"/>
        <v>0</v>
      </c>
      <c r="Q61" s="17">
        <f t="shared" si="9"/>
        <v>0</v>
      </c>
      <c r="R61" s="17">
        <f t="shared" si="9"/>
        <v>0</v>
      </c>
      <c r="S61" s="17">
        <f t="shared" si="9"/>
        <v>0</v>
      </c>
      <c r="T61" s="17">
        <f t="shared" si="9"/>
        <v>0</v>
      </c>
      <c r="U61" s="17">
        <f t="shared" si="9"/>
        <v>0</v>
      </c>
      <c r="V61" s="17">
        <f t="shared" si="9"/>
        <v>0</v>
      </c>
      <c r="W61" s="17">
        <f t="shared" si="9"/>
        <v>0</v>
      </c>
      <c r="X61" s="17">
        <f t="shared" si="9"/>
        <v>0</v>
      </c>
      <c r="Y61" s="17">
        <f t="shared" si="9"/>
        <v>0</v>
      </c>
      <c r="Z61" s="17">
        <f t="shared" si="9"/>
        <v>0</v>
      </c>
      <c r="AA61" s="17">
        <f t="shared" si="9"/>
        <v>0</v>
      </c>
      <c r="AB61" s="17">
        <f t="shared" si="9"/>
        <v>0</v>
      </c>
      <c r="AC61" s="17">
        <f t="shared" si="9"/>
        <v>0</v>
      </c>
      <c r="AD61" s="17">
        <f t="shared" si="9"/>
        <v>0</v>
      </c>
      <c r="AE61" s="17">
        <f t="shared" si="9"/>
        <v>0</v>
      </c>
      <c r="AF61" s="17">
        <f t="shared" si="9"/>
        <v>0</v>
      </c>
      <c r="AG61" s="17">
        <f t="shared" si="9"/>
        <v>0</v>
      </c>
      <c r="AH61" s="17">
        <f t="shared" si="9"/>
        <v>0</v>
      </c>
    </row>
    <row r="62" hidden="1" spans="2:34">
      <c r="B62" s="16" t="s">
        <v>71</v>
      </c>
      <c r="C62" s="16"/>
      <c r="D62" s="17">
        <f t="shared" ref="D62:AH62" si="10">COUNTIF(D3:D56,"DSR")</f>
        <v>50</v>
      </c>
      <c r="E62" s="17">
        <f t="shared" si="10"/>
        <v>0</v>
      </c>
      <c r="F62" s="17">
        <f t="shared" si="10"/>
        <v>0</v>
      </c>
      <c r="G62" s="17">
        <f t="shared" si="10"/>
        <v>0</v>
      </c>
      <c r="H62" s="17">
        <f t="shared" si="10"/>
        <v>0</v>
      </c>
      <c r="I62" s="17">
        <f t="shared" si="10"/>
        <v>0</v>
      </c>
      <c r="J62" s="17">
        <f t="shared" si="10"/>
        <v>51</v>
      </c>
      <c r="K62" s="17">
        <f t="shared" si="10"/>
        <v>51</v>
      </c>
      <c r="L62" s="17">
        <f t="shared" si="10"/>
        <v>0</v>
      </c>
      <c r="M62" s="17">
        <f t="shared" si="10"/>
        <v>0</v>
      </c>
      <c r="N62" s="17">
        <f t="shared" si="10"/>
        <v>0</v>
      </c>
      <c r="O62" s="17">
        <f t="shared" si="10"/>
        <v>0</v>
      </c>
      <c r="P62" s="17">
        <f t="shared" si="10"/>
        <v>0</v>
      </c>
      <c r="Q62" s="17">
        <f t="shared" si="10"/>
        <v>51</v>
      </c>
      <c r="R62" s="17">
        <f t="shared" si="10"/>
        <v>51</v>
      </c>
      <c r="S62" s="17">
        <f t="shared" si="10"/>
        <v>0</v>
      </c>
      <c r="T62" s="17">
        <f t="shared" si="10"/>
        <v>0</v>
      </c>
      <c r="U62" s="17">
        <f t="shared" si="10"/>
        <v>0</v>
      </c>
      <c r="V62" s="17">
        <f t="shared" si="10"/>
        <v>0</v>
      </c>
      <c r="W62" s="17">
        <f t="shared" si="10"/>
        <v>0</v>
      </c>
      <c r="X62" s="17">
        <f t="shared" si="10"/>
        <v>51</v>
      </c>
      <c r="Y62" s="17">
        <f t="shared" si="10"/>
        <v>51</v>
      </c>
      <c r="Z62" s="17">
        <f t="shared" si="10"/>
        <v>0</v>
      </c>
      <c r="AA62" s="17">
        <f t="shared" si="10"/>
        <v>0</v>
      </c>
      <c r="AB62" s="17">
        <f t="shared" si="10"/>
        <v>0</v>
      </c>
      <c r="AC62" s="17">
        <f t="shared" si="10"/>
        <v>0</v>
      </c>
      <c r="AD62" s="17">
        <f t="shared" si="10"/>
        <v>0</v>
      </c>
      <c r="AE62" s="17">
        <f t="shared" si="10"/>
        <v>51</v>
      </c>
      <c r="AF62" s="17">
        <f t="shared" si="10"/>
        <v>0</v>
      </c>
      <c r="AG62" s="17">
        <f t="shared" si="10"/>
        <v>0</v>
      </c>
      <c r="AH62" s="17">
        <f t="shared" si="10"/>
        <v>0</v>
      </c>
    </row>
    <row r="63" hidden="1" spans="2:34">
      <c r="B63" s="16" t="s">
        <v>72</v>
      </c>
      <c r="C63" s="16"/>
      <c r="D63" s="17">
        <f t="shared" ref="D63:AH63" si="11">COUNTIF(D3:D56,"SC")</f>
        <v>0</v>
      </c>
      <c r="E63" s="17">
        <f t="shared" si="11"/>
        <v>0</v>
      </c>
      <c r="F63" s="17">
        <f t="shared" si="11"/>
        <v>0</v>
      </c>
      <c r="G63" s="17">
        <f t="shared" si="11"/>
        <v>0</v>
      </c>
      <c r="H63" s="17">
        <f t="shared" si="11"/>
        <v>0</v>
      </c>
      <c r="I63" s="17">
        <f t="shared" si="11"/>
        <v>0</v>
      </c>
      <c r="J63" s="17">
        <f t="shared" si="11"/>
        <v>0</v>
      </c>
      <c r="K63" s="17">
        <f t="shared" si="11"/>
        <v>0</v>
      </c>
      <c r="L63" s="17">
        <f t="shared" si="11"/>
        <v>0</v>
      </c>
      <c r="M63" s="17">
        <f t="shared" si="11"/>
        <v>0</v>
      </c>
      <c r="N63" s="17">
        <f t="shared" si="11"/>
        <v>0</v>
      </c>
      <c r="O63" s="17">
        <f t="shared" si="11"/>
        <v>0</v>
      </c>
      <c r="P63" s="17">
        <f t="shared" si="11"/>
        <v>0</v>
      </c>
      <c r="Q63" s="17">
        <f t="shared" si="11"/>
        <v>0</v>
      </c>
      <c r="R63" s="17">
        <f t="shared" si="11"/>
        <v>0</v>
      </c>
      <c r="S63" s="17">
        <f t="shared" si="11"/>
        <v>0</v>
      </c>
      <c r="T63" s="17">
        <f t="shared" si="11"/>
        <v>0</v>
      </c>
      <c r="U63" s="17">
        <f t="shared" si="11"/>
        <v>0</v>
      </c>
      <c r="V63" s="17">
        <f t="shared" si="11"/>
        <v>0</v>
      </c>
      <c r="W63" s="17">
        <f t="shared" si="11"/>
        <v>0</v>
      </c>
      <c r="X63" s="17">
        <f t="shared" si="11"/>
        <v>0</v>
      </c>
      <c r="Y63" s="17">
        <f t="shared" si="11"/>
        <v>0</v>
      </c>
      <c r="Z63" s="17">
        <f t="shared" si="11"/>
        <v>0</v>
      </c>
      <c r="AA63" s="17">
        <f t="shared" si="11"/>
        <v>0</v>
      </c>
      <c r="AB63" s="17">
        <f t="shared" si="11"/>
        <v>0</v>
      </c>
      <c r="AC63" s="17">
        <f t="shared" si="11"/>
        <v>0</v>
      </c>
      <c r="AD63" s="17">
        <f t="shared" si="11"/>
        <v>0</v>
      </c>
      <c r="AE63" s="17">
        <f t="shared" si="11"/>
        <v>0</v>
      </c>
      <c r="AF63" s="17">
        <f t="shared" si="11"/>
        <v>0</v>
      </c>
      <c r="AG63" s="17">
        <f t="shared" si="11"/>
        <v>0</v>
      </c>
      <c r="AH63" s="17">
        <f t="shared" si="11"/>
        <v>0</v>
      </c>
    </row>
    <row r="64" hidden="1" spans="2:34">
      <c r="B64" s="16" t="s">
        <v>73</v>
      </c>
      <c r="C64" s="16"/>
      <c r="D64" s="17">
        <f t="shared" ref="D64:AH64" si="12">COUNTIF(D3:D56,"ET")</f>
        <v>0</v>
      </c>
      <c r="E64" s="17">
        <f t="shared" si="12"/>
        <v>0</v>
      </c>
      <c r="F64" s="17">
        <f t="shared" si="12"/>
        <v>0</v>
      </c>
      <c r="G64" s="17">
        <f t="shared" si="12"/>
        <v>0</v>
      </c>
      <c r="H64" s="17">
        <f t="shared" si="12"/>
        <v>0</v>
      </c>
      <c r="I64" s="17">
        <f t="shared" si="12"/>
        <v>0</v>
      </c>
      <c r="J64" s="17">
        <f t="shared" si="12"/>
        <v>0</v>
      </c>
      <c r="K64" s="17">
        <f t="shared" si="12"/>
        <v>0</v>
      </c>
      <c r="L64" s="17">
        <f t="shared" si="12"/>
        <v>0</v>
      </c>
      <c r="M64" s="17">
        <f t="shared" si="12"/>
        <v>0</v>
      </c>
      <c r="N64" s="17">
        <f t="shared" si="12"/>
        <v>0</v>
      </c>
      <c r="O64" s="17">
        <f t="shared" si="12"/>
        <v>0</v>
      </c>
      <c r="P64" s="17">
        <f t="shared" si="12"/>
        <v>0</v>
      </c>
      <c r="Q64" s="17">
        <f t="shared" si="12"/>
        <v>0</v>
      </c>
      <c r="R64" s="17">
        <f t="shared" si="12"/>
        <v>0</v>
      </c>
      <c r="S64" s="17">
        <f t="shared" si="12"/>
        <v>0</v>
      </c>
      <c r="T64" s="17">
        <f t="shared" si="12"/>
        <v>0</v>
      </c>
      <c r="U64" s="17">
        <f t="shared" si="12"/>
        <v>0</v>
      </c>
      <c r="V64" s="17">
        <f t="shared" si="12"/>
        <v>0</v>
      </c>
      <c r="W64" s="17">
        <f t="shared" si="12"/>
        <v>0</v>
      </c>
      <c r="X64" s="17">
        <f t="shared" si="12"/>
        <v>0</v>
      </c>
      <c r="Y64" s="17">
        <f t="shared" si="12"/>
        <v>0</v>
      </c>
      <c r="Z64" s="17">
        <f t="shared" si="12"/>
        <v>0</v>
      </c>
      <c r="AA64" s="17">
        <f t="shared" si="12"/>
        <v>0</v>
      </c>
      <c r="AB64" s="17">
        <f t="shared" si="12"/>
        <v>0</v>
      </c>
      <c r="AC64" s="17">
        <f t="shared" si="12"/>
        <v>0</v>
      </c>
      <c r="AD64" s="17">
        <f t="shared" si="12"/>
        <v>0</v>
      </c>
      <c r="AE64" s="17">
        <f t="shared" si="12"/>
        <v>0</v>
      </c>
      <c r="AF64" s="17">
        <f t="shared" si="12"/>
        <v>0</v>
      </c>
      <c r="AG64" s="17">
        <f t="shared" si="12"/>
        <v>0</v>
      </c>
      <c r="AH64" s="17">
        <f t="shared" si="12"/>
        <v>0</v>
      </c>
    </row>
    <row r="66" ht="15.75" spans="2:34">
      <c r="B66" s="5" t="s">
        <v>74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2:41">
      <c r="B67" s="23" t="s">
        <v>1</v>
      </c>
      <c r="C67" s="24" t="s">
        <v>2</v>
      </c>
      <c r="D67" s="24">
        <v>1</v>
      </c>
      <c r="E67" s="24">
        <v>2</v>
      </c>
      <c r="F67" s="24">
        <v>3</v>
      </c>
      <c r="G67" s="24">
        <v>4</v>
      </c>
      <c r="H67" s="24">
        <v>5</v>
      </c>
      <c r="I67" s="24">
        <v>6</v>
      </c>
      <c r="J67" s="24">
        <v>7</v>
      </c>
      <c r="K67" s="24">
        <v>8</v>
      </c>
      <c r="L67" s="24">
        <v>9</v>
      </c>
      <c r="M67" s="24">
        <v>10</v>
      </c>
      <c r="N67" s="24">
        <v>11</v>
      </c>
      <c r="O67" s="24">
        <v>12</v>
      </c>
      <c r="P67" s="24">
        <v>13</v>
      </c>
      <c r="Q67" s="24">
        <v>14</v>
      </c>
      <c r="R67" s="24">
        <v>15</v>
      </c>
      <c r="S67" s="24">
        <v>16</v>
      </c>
      <c r="T67" s="24">
        <v>17</v>
      </c>
      <c r="U67" s="24">
        <v>18</v>
      </c>
      <c r="V67" s="24">
        <v>19</v>
      </c>
      <c r="W67" s="24">
        <v>20</v>
      </c>
      <c r="X67" s="24">
        <v>21</v>
      </c>
      <c r="Y67" s="24">
        <v>22</v>
      </c>
      <c r="Z67" s="24">
        <v>23</v>
      </c>
      <c r="AA67" s="24">
        <v>24</v>
      </c>
      <c r="AB67" s="24">
        <v>25</v>
      </c>
      <c r="AC67" s="24">
        <v>26</v>
      </c>
      <c r="AD67" s="24">
        <v>27</v>
      </c>
      <c r="AE67" s="24">
        <v>28</v>
      </c>
      <c r="AF67" s="24">
        <v>29</v>
      </c>
      <c r="AG67" s="24">
        <v>30</v>
      </c>
      <c r="AH67" s="24">
        <v>31</v>
      </c>
      <c r="AJ67" s="18" t="s">
        <v>3</v>
      </c>
      <c r="AK67" s="19" t="s">
        <v>4</v>
      </c>
      <c r="AL67" s="20" t="s">
        <v>5</v>
      </c>
      <c r="AM67" s="21" t="s">
        <v>6</v>
      </c>
      <c r="AN67" s="22" t="s">
        <v>7</v>
      </c>
      <c r="AO67" s="22" t="s">
        <v>8</v>
      </c>
    </row>
    <row r="68" spans="2:41">
      <c r="B68" s="8" t="s">
        <v>9</v>
      </c>
      <c r="C68" s="8" t="s">
        <v>10</v>
      </c>
      <c r="D68" s="9"/>
      <c r="E68" s="9"/>
      <c r="F68" s="9" t="s">
        <v>11</v>
      </c>
      <c r="G68" s="9" t="s">
        <v>11</v>
      </c>
      <c r="H68" s="9" t="s">
        <v>4</v>
      </c>
      <c r="I68" s="9" t="s">
        <v>4</v>
      </c>
      <c r="J68" s="9" t="s">
        <v>4</v>
      </c>
      <c r="K68" s="9" t="s">
        <v>4</v>
      </c>
      <c r="L68" s="9" t="s">
        <v>4</v>
      </c>
      <c r="M68" s="9" t="s">
        <v>4</v>
      </c>
      <c r="N68" s="9" t="s">
        <v>4</v>
      </c>
      <c r="O68" s="9" t="s">
        <v>4</v>
      </c>
      <c r="P68" s="9" t="s">
        <v>4</v>
      </c>
      <c r="Q68" s="9" t="s">
        <v>4</v>
      </c>
      <c r="R68" s="9" t="s">
        <v>4</v>
      </c>
      <c r="S68" s="9" t="s">
        <v>4</v>
      </c>
      <c r="T68" s="9" t="s">
        <v>4</v>
      </c>
      <c r="U68" s="9" t="s">
        <v>4</v>
      </c>
      <c r="V68" s="9" t="s">
        <v>4</v>
      </c>
      <c r="W68" s="9" t="s">
        <v>4</v>
      </c>
      <c r="X68" s="9" t="s">
        <v>4</v>
      </c>
      <c r="Y68" s="9" t="s">
        <v>4</v>
      </c>
      <c r="Z68" s="9" t="s">
        <v>4</v>
      </c>
      <c r="AA68" s="9" t="s">
        <v>4</v>
      </c>
      <c r="AB68" s="9" t="s">
        <v>4</v>
      </c>
      <c r="AC68" s="9" t="s">
        <v>4</v>
      </c>
      <c r="AD68" s="9" t="s">
        <v>4</v>
      </c>
      <c r="AE68" s="9" t="s">
        <v>4</v>
      </c>
      <c r="AF68" s="9" t="s">
        <v>4</v>
      </c>
      <c r="AG68" s="9" t="s">
        <v>4</v>
      </c>
      <c r="AH68" s="9" t="s">
        <v>4</v>
      </c>
      <c r="AI68" s="1"/>
      <c r="AJ68" s="9">
        <f t="shared" ref="AJ68:AJ116" si="13">COUNTIF(D68:AH68,"P")</f>
        <v>0</v>
      </c>
      <c r="AK68" s="9">
        <f t="shared" ref="AK68:AK116" si="14">COUNTIF(D68:AH68,"FE")</f>
        <v>27</v>
      </c>
      <c r="AL68" s="9">
        <f t="shared" ref="AL68:AL116" si="15">COUNTIF(D68:AH68,"FI")</f>
        <v>0</v>
      </c>
      <c r="AM68" s="9">
        <f t="shared" ref="AM68:AM116" si="16">COUNTIF(D68:AH68,"FJ")</f>
        <v>0</v>
      </c>
      <c r="AN68" s="9">
        <f t="shared" ref="AN68:AN116" si="17">COUNTIF(D68:AH68,"ET")</f>
        <v>0</v>
      </c>
      <c r="AO68" s="9">
        <f t="shared" ref="AO68:AO116" si="18">COUNTIF(D68:AH68,"SC")</f>
        <v>0</v>
      </c>
    </row>
    <row r="69" spans="2:41">
      <c r="B69" s="8" t="s">
        <v>12</v>
      </c>
      <c r="C69" s="8" t="s">
        <v>13</v>
      </c>
      <c r="D69" s="9"/>
      <c r="E69" s="9"/>
      <c r="F69" s="9" t="s">
        <v>11</v>
      </c>
      <c r="G69" s="9" t="s">
        <v>11</v>
      </c>
      <c r="H69" s="9" t="s">
        <v>3</v>
      </c>
      <c r="I69" s="9" t="s">
        <v>3</v>
      </c>
      <c r="J69" s="9" t="s">
        <v>3</v>
      </c>
      <c r="K69" s="9" t="s">
        <v>3</v>
      </c>
      <c r="L69" s="9"/>
      <c r="M69" s="9" t="s">
        <v>11</v>
      </c>
      <c r="N69" s="9" t="s">
        <v>11</v>
      </c>
      <c r="O69" s="9"/>
      <c r="P69" s="9"/>
      <c r="Q69" s="9"/>
      <c r="R69" s="9"/>
      <c r="S69" s="9"/>
      <c r="T69" s="9" t="s">
        <v>11</v>
      </c>
      <c r="U69" s="9" t="s">
        <v>11</v>
      </c>
      <c r="V69" s="9"/>
      <c r="W69" s="9"/>
      <c r="X69" s="9"/>
      <c r="Y69" s="9"/>
      <c r="Z69" s="9"/>
      <c r="AA69" s="9" t="s">
        <v>11</v>
      </c>
      <c r="AB69" s="9" t="s">
        <v>11</v>
      </c>
      <c r="AC69" s="9"/>
      <c r="AD69" s="9"/>
      <c r="AE69" s="9"/>
      <c r="AF69" s="9"/>
      <c r="AG69" s="9"/>
      <c r="AH69" s="9" t="s">
        <v>11</v>
      </c>
      <c r="AI69" s="1"/>
      <c r="AJ69" s="9">
        <f t="shared" si="13"/>
        <v>4</v>
      </c>
      <c r="AK69" s="9">
        <f t="shared" si="14"/>
        <v>0</v>
      </c>
      <c r="AL69" s="9">
        <f t="shared" si="15"/>
        <v>0</v>
      </c>
      <c r="AM69" s="9">
        <f t="shared" si="16"/>
        <v>0</v>
      </c>
      <c r="AN69" s="9">
        <f t="shared" si="17"/>
        <v>0</v>
      </c>
      <c r="AO69" s="9">
        <f t="shared" si="18"/>
        <v>0</v>
      </c>
    </row>
    <row r="70" spans="2:41">
      <c r="B70" s="8" t="s">
        <v>14</v>
      </c>
      <c r="C70" s="8" t="s">
        <v>15</v>
      </c>
      <c r="D70" s="9"/>
      <c r="E70" s="9"/>
      <c r="F70" s="9" t="s">
        <v>11</v>
      </c>
      <c r="G70" s="9" t="s">
        <v>11</v>
      </c>
      <c r="H70" s="9" t="s">
        <v>3</v>
      </c>
      <c r="I70" s="9" t="s">
        <v>6</v>
      </c>
      <c r="J70" s="9" t="s">
        <v>6</v>
      </c>
      <c r="K70" s="9" t="s">
        <v>3</v>
      </c>
      <c r="L70" s="9"/>
      <c r="M70" s="9" t="s">
        <v>11</v>
      </c>
      <c r="N70" s="9" t="s">
        <v>11</v>
      </c>
      <c r="O70" s="9"/>
      <c r="P70" s="9"/>
      <c r="Q70" s="9"/>
      <c r="R70" s="9"/>
      <c r="S70" s="9"/>
      <c r="T70" s="9" t="s">
        <v>11</v>
      </c>
      <c r="U70" s="9" t="s">
        <v>11</v>
      </c>
      <c r="V70" s="9"/>
      <c r="W70" s="9"/>
      <c r="X70" s="9"/>
      <c r="Y70" s="9"/>
      <c r="Z70" s="9"/>
      <c r="AA70" s="9" t="s">
        <v>11</v>
      </c>
      <c r="AB70" s="9" t="s">
        <v>11</v>
      </c>
      <c r="AC70" s="9"/>
      <c r="AD70" s="9"/>
      <c r="AE70" s="9"/>
      <c r="AF70" s="9"/>
      <c r="AG70" s="9"/>
      <c r="AH70" s="9" t="s">
        <v>11</v>
      </c>
      <c r="AI70" s="1"/>
      <c r="AJ70" s="9">
        <f t="shared" si="13"/>
        <v>2</v>
      </c>
      <c r="AK70" s="9">
        <f t="shared" si="14"/>
        <v>0</v>
      </c>
      <c r="AL70" s="9">
        <f t="shared" si="15"/>
        <v>0</v>
      </c>
      <c r="AM70" s="9">
        <f t="shared" si="16"/>
        <v>2</v>
      </c>
      <c r="AN70" s="9">
        <f t="shared" si="17"/>
        <v>0</v>
      </c>
      <c r="AO70" s="9">
        <f t="shared" si="18"/>
        <v>0</v>
      </c>
    </row>
    <row r="71" spans="2:41">
      <c r="B71" s="8" t="s">
        <v>18</v>
      </c>
      <c r="C71" s="8" t="s">
        <v>15</v>
      </c>
      <c r="D71" s="9"/>
      <c r="E71" s="9"/>
      <c r="F71" s="9" t="s">
        <v>11</v>
      </c>
      <c r="G71" s="9" t="s">
        <v>11</v>
      </c>
      <c r="H71" s="9" t="s">
        <v>3</v>
      </c>
      <c r="I71" s="9" t="s">
        <v>3</v>
      </c>
      <c r="J71" s="9" t="s">
        <v>3</v>
      </c>
      <c r="K71" s="9" t="s">
        <v>3</v>
      </c>
      <c r="L71" s="9"/>
      <c r="M71" s="9" t="s">
        <v>11</v>
      </c>
      <c r="N71" s="9" t="s">
        <v>11</v>
      </c>
      <c r="O71" s="9"/>
      <c r="P71" s="9"/>
      <c r="Q71" s="9"/>
      <c r="R71" s="9"/>
      <c r="S71" s="9"/>
      <c r="T71" s="9" t="s">
        <v>11</v>
      </c>
      <c r="U71" s="9" t="s">
        <v>11</v>
      </c>
      <c r="V71" s="9"/>
      <c r="W71" s="9"/>
      <c r="X71" s="9"/>
      <c r="Y71" s="9"/>
      <c r="Z71" s="9"/>
      <c r="AA71" s="9" t="s">
        <v>11</v>
      </c>
      <c r="AB71" s="9" t="s">
        <v>11</v>
      </c>
      <c r="AC71" s="9"/>
      <c r="AD71" s="9"/>
      <c r="AE71" s="9"/>
      <c r="AF71" s="9"/>
      <c r="AG71" s="9"/>
      <c r="AH71" s="9" t="s">
        <v>11</v>
      </c>
      <c r="AI71" s="1"/>
      <c r="AJ71" s="9">
        <f t="shared" si="13"/>
        <v>4</v>
      </c>
      <c r="AK71" s="9">
        <f t="shared" si="14"/>
        <v>0</v>
      </c>
      <c r="AL71" s="9">
        <f t="shared" si="15"/>
        <v>0</v>
      </c>
      <c r="AM71" s="9">
        <f t="shared" si="16"/>
        <v>0</v>
      </c>
      <c r="AN71" s="9">
        <f t="shared" si="17"/>
        <v>0</v>
      </c>
      <c r="AO71" s="9">
        <f t="shared" si="18"/>
        <v>0</v>
      </c>
    </row>
    <row r="72" spans="2:41">
      <c r="B72" s="8" t="s">
        <v>19</v>
      </c>
      <c r="C72" s="8" t="s">
        <v>15</v>
      </c>
      <c r="D72" s="9" t="s">
        <v>4</v>
      </c>
      <c r="E72" s="9" t="s">
        <v>4</v>
      </c>
      <c r="F72" s="9" t="s">
        <v>4</v>
      </c>
      <c r="G72" s="9" t="s">
        <v>4</v>
      </c>
      <c r="H72" s="9" t="s">
        <v>4</v>
      </c>
      <c r="I72" s="9" t="s">
        <v>4</v>
      </c>
      <c r="J72" s="9" t="s">
        <v>3</v>
      </c>
      <c r="K72" s="9" t="s">
        <v>3</v>
      </c>
      <c r="L72" s="9"/>
      <c r="M72" s="9" t="s">
        <v>11</v>
      </c>
      <c r="N72" s="9" t="s">
        <v>11</v>
      </c>
      <c r="O72" s="9"/>
      <c r="P72" s="9"/>
      <c r="Q72" s="9"/>
      <c r="R72" s="9"/>
      <c r="S72" s="9"/>
      <c r="T72" s="9" t="s">
        <v>11</v>
      </c>
      <c r="U72" s="9" t="s">
        <v>11</v>
      </c>
      <c r="V72" s="9"/>
      <c r="W72" s="9"/>
      <c r="X72" s="9"/>
      <c r="Y72" s="9"/>
      <c r="Z72" s="9"/>
      <c r="AA72" s="9" t="s">
        <v>11</v>
      </c>
      <c r="AB72" s="9" t="s">
        <v>11</v>
      </c>
      <c r="AC72" s="9"/>
      <c r="AD72" s="9"/>
      <c r="AE72" s="9"/>
      <c r="AF72" s="9"/>
      <c r="AG72" s="9"/>
      <c r="AH72" s="9" t="s">
        <v>11</v>
      </c>
      <c r="AI72" s="1"/>
      <c r="AJ72" s="9">
        <f t="shared" si="13"/>
        <v>2</v>
      </c>
      <c r="AK72" s="9">
        <f t="shared" si="14"/>
        <v>6</v>
      </c>
      <c r="AL72" s="9">
        <f t="shared" si="15"/>
        <v>0</v>
      </c>
      <c r="AM72" s="9">
        <f t="shared" si="16"/>
        <v>0</v>
      </c>
      <c r="AN72" s="9">
        <f t="shared" si="17"/>
        <v>0</v>
      </c>
      <c r="AO72" s="9">
        <f t="shared" si="18"/>
        <v>0</v>
      </c>
    </row>
    <row r="73" spans="2:41">
      <c r="B73" s="8" t="s">
        <v>20</v>
      </c>
      <c r="C73" s="8" t="s">
        <v>21</v>
      </c>
      <c r="D73" s="9"/>
      <c r="E73" s="9"/>
      <c r="F73" s="9" t="s">
        <v>11</v>
      </c>
      <c r="G73" s="9" t="s">
        <v>11</v>
      </c>
      <c r="H73" s="9" t="s">
        <v>3</v>
      </c>
      <c r="I73" s="9" t="s">
        <v>3</v>
      </c>
      <c r="J73" s="9" t="s">
        <v>3</v>
      </c>
      <c r="K73" s="9" t="s">
        <v>3</v>
      </c>
      <c r="L73" s="9"/>
      <c r="M73" s="9" t="s">
        <v>11</v>
      </c>
      <c r="N73" s="9" t="s">
        <v>11</v>
      </c>
      <c r="O73" s="9"/>
      <c r="P73" s="9"/>
      <c r="Q73" s="9"/>
      <c r="R73" s="9"/>
      <c r="S73" s="9"/>
      <c r="T73" s="9" t="s">
        <v>11</v>
      </c>
      <c r="U73" s="9" t="s">
        <v>11</v>
      </c>
      <c r="V73" s="9"/>
      <c r="W73" s="9"/>
      <c r="X73" s="9"/>
      <c r="Y73" s="9"/>
      <c r="Z73" s="9"/>
      <c r="AA73" s="9" t="s">
        <v>11</v>
      </c>
      <c r="AB73" s="9" t="s">
        <v>11</v>
      </c>
      <c r="AC73" s="9"/>
      <c r="AD73" s="9"/>
      <c r="AE73" s="9"/>
      <c r="AF73" s="9"/>
      <c r="AG73" s="9"/>
      <c r="AH73" s="9" t="s">
        <v>11</v>
      </c>
      <c r="AI73" s="1"/>
      <c r="AJ73" s="9">
        <f t="shared" si="13"/>
        <v>4</v>
      </c>
      <c r="AK73" s="9">
        <f t="shared" si="14"/>
        <v>0</v>
      </c>
      <c r="AL73" s="9">
        <f t="shared" si="15"/>
        <v>0</v>
      </c>
      <c r="AM73" s="9">
        <f t="shared" si="16"/>
        <v>0</v>
      </c>
      <c r="AN73" s="9">
        <f t="shared" si="17"/>
        <v>0</v>
      </c>
      <c r="AO73" s="9">
        <f t="shared" si="18"/>
        <v>0</v>
      </c>
    </row>
    <row r="74" spans="2:41">
      <c r="B74" s="8" t="s">
        <v>22</v>
      </c>
      <c r="C74" s="8" t="s">
        <v>15</v>
      </c>
      <c r="D74" s="9"/>
      <c r="E74" s="9"/>
      <c r="F74" s="9" t="s">
        <v>11</v>
      </c>
      <c r="G74" s="9" t="s">
        <v>11</v>
      </c>
      <c r="H74" s="9" t="s">
        <v>3</v>
      </c>
      <c r="I74" s="9" t="s">
        <v>3</v>
      </c>
      <c r="J74" s="9" t="s">
        <v>3</v>
      </c>
      <c r="K74" s="9" t="s">
        <v>3</v>
      </c>
      <c r="L74" s="9"/>
      <c r="M74" s="9" t="s">
        <v>11</v>
      </c>
      <c r="N74" s="9" t="s">
        <v>11</v>
      </c>
      <c r="O74" s="9"/>
      <c r="P74" s="9"/>
      <c r="Q74" s="9"/>
      <c r="R74" s="9"/>
      <c r="S74" s="9"/>
      <c r="T74" s="9" t="s">
        <v>11</v>
      </c>
      <c r="U74" s="9" t="s">
        <v>11</v>
      </c>
      <c r="V74" s="9"/>
      <c r="W74" s="9"/>
      <c r="X74" s="9"/>
      <c r="Y74" s="9"/>
      <c r="Z74" s="9"/>
      <c r="AA74" s="9" t="s">
        <v>11</v>
      </c>
      <c r="AB74" s="9" t="s">
        <v>11</v>
      </c>
      <c r="AC74" s="9"/>
      <c r="AD74" s="9"/>
      <c r="AE74" s="9"/>
      <c r="AF74" s="9"/>
      <c r="AG74" s="9"/>
      <c r="AH74" s="9" t="s">
        <v>11</v>
      </c>
      <c r="AI74" s="1"/>
      <c r="AJ74" s="9">
        <f t="shared" si="13"/>
        <v>4</v>
      </c>
      <c r="AK74" s="9">
        <f t="shared" si="14"/>
        <v>0</v>
      </c>
      <c r="AL74" s="9">
        <f t="shared" si="15"/>
        <v>0</v>
      </c>
      <c r="AM74" s="9">
        <f t="shared" si="16"/>
        <v>0</v>
      </c>
      <c r="AN74" s="9">
        <f t="shared" si="17"/>
        <v>0</v>
      </c>
      <c r="AO74" s="9">
        <f t="shared" si="18"/>
        <v>0</v>
      </c>
    </row>
    <row r="75" spans="2:41">
      <c r="B75" s="8" t="s">
        <v>23</v>
      </c>
      <c r="C75" s="8" t="s">
        <v>13</v>
      </c>
      <c r="D75" s="9"/>
      <c r="E75" s="9"/>
      <c r="F75" s="9" t="s">
        <v>11</v>
      </c>
      <c r="G75" s="9" t="s">
        <v>11</v>
      </c>
      <c r="H75" s="9" t="s">
        <v>3</v>
      </c>
      <c r="I75" s="9" t="s">
        <v>3</v>
      </c>
      <c r="J75" s="9" t="s">
        <v>3</v>
      </c>
      <c r="K75" s="9" t="s">
        <v>5</v>
      </c>
      <c r="L75" s="9"/>
      <c r="M75" s="9" t="s">
        <v>11</v>
      </c>
      <c r="N75" s="9" t="s">
        <v>11</v>
      </c>
      <c r="O75" s="9"/>
      <c r="P75" s="9"/>
      <c r="Q75" s="9"/>
      <c r="R75" s="9"/>
      <c r="S75" s="9"/>
      <c r="T75" s="9" t="s">
        <v>11</v>
      </c>
      <c r="U75" s="9" t="s">
        <v>11</v>
      </c>
      <c r="V75" s="9"/>
      <c r="W75" s="9"/>
      <c r="X75" s="9"/>
      <c r="Y75" s="9"/>
      <c r="Z75" s="9"/>
      <c r="AA75" s="9" t="s">
        <v>11</v>
      </c>
      <c r="AB75" s="9" t="s">
        <v>11</v>
      </c>
      <c r="AC75" s="9"/>
      <c r="AD75" s="9"/>
      <c r="AE75" s="9"/>
      <c r="AF75" s="9"/>
      <c r="AG75" s="9"/>
      <c r="AH75" s="9" t="s">
        <v>11</v>
      </c>
      <c r="AI75" s="1"/>
      <c r="AJ75" s="9">
        <f t="shared" si="13"/>
        <v>3</v>
      </c>
      <c r="AK75" s="9">
        <f t="shared" si="14"/>
        <v>0</v>
      </c>
      <c r="AL75" s="9">
        <f t="shared" si="15"/>
        <v>1</v>
      </c>
      <c r="AM75" s="9">
        <f t="shared" si="16"/>
        <v>0</v>
      </c>
      <c r="AN75" s="9">
        <f t="shared" si="17"/>
        <v>0</v>
      </c>
      <c r="AO75" s="9">
        <f t="shared" si="18"/>
        <v>0</v>
      </c>
    </row>
    <row r="76" spans="2:41">
      <c r="B76" s="8" t="s">
        <v>24</v>
      </c>
      <c r="C76" s="8" t="s">
        <v>13</v>
      </c>
      <c r="D76" s="9"/>
      <c r="E76" s="9"/>
      <c r="F76" s="9" t="s">
        <v>11</v>
      </c>
      <c r="G76" s="9" t="s">
        <v>11</v>
      </c>
      <c r="H76" s="9" t="s">
        <v>3</v>
      </c>
      <c r="I76" s="9" t="s">
        <v>3</v>
      </c>
      <c r="J76" s="9" t="s">
        <v>3</v>
      </c>
      <c r="K76" s="9" t="s">
        <v>3</v>
      </c>
      <c r="L76" s="9"/>
      <c r="M76" s="9" t="s">
        <v>11</v>
      </c>
      <c r="N76" s="9" t="s">
        <v>11</v>
      </c>
      <c r="O76" s="9"/>
      <c r="P76" s="9"/>
      <c r="Q76" s="9"/>
      <c r="R76" s="9"/>
      <c r="S76" s="9"/>
      <c r="T76" s="9" t="s">
        <v>11</v>
      </c>
      <c r="U76" s="9" t="s">
        <v>11</v>
      </c>
      <c r="V76" s="9"/>
      <c r="W76" s="9"/>
      <c r="X76" s="9"/>
      <c r="Y76" s="9"/>
      <c r="Z76" s="9"/>
      <c r="AA76" s="9" t="s">
        <v>11</v>
      </c>
      <c r="AB76" s="9" t="s">
        <v>11</v>
      </c>
      <c r="AC76" s="9"/>
      <c r="AD76" s="9"/>
      <c r="AE76" s="9"/>
      <c r="AF76" s="9"/>
      <c r="AG76" s="9"/>
      <c r="AH76" s="9" t="s">
        <v>11</v>
      </c>
      <c r="AI76" s="1"/>
      <c r="AJ76" s="9">
        <f t="shared" si="13"/>
        <v>4</v>
      </c>
      <c r="AK76" s="9">
        <f t="shared" si="14"/>
        <v>0</v>
      </c>
      <c r="AL76" s="9">
        <f t="shared" si="15"/>
        <v>0</v>
      </c>
      <c r="AM76" s="9">
        <f t="shared" si="16"/>
        <v>0</v>
      </c>
      <c r="AN76" s="9">
        <f t="shared" si="17"/>
        <v>0</v>
      </c>
      <c r="AO76" s="9">
        <f t="shared" si="18"/>
        <v>0</v>
      </c>
    </row>
    <row r="77" spans="2:41">
      <c r="B77" s="8" t="s">
        <v>25</v>
      </c>
      <c r="C77" s="8" t="s">
        <v>13</v>
      </c>
      <c r="D77" s="9"/>
      <c r="E77" s="9"/>
      <c r="F77" s="9" t="s">
        <v>11</v>
      </c>
      <c r="G77" s="9" t="s">
        <v>11</v>
      </c>
      <c r="H77" s="9" t="s">
        <v>3</v>
      </c>
      <c r="I77" s="9" t="s">
        <v>3</v>
      </c>
      <c r="J77" s="9" t="s">
        <v>3</v>
      </c>
      <c r="K77" s="9" t="s">
        <v>3</v>
      </c>
      <c r="L77" s="9"/>
      <c r="M77" s="9" t="s">
        <v>11</v>
      </c>
      <c r="N77" s="9" t="s">
        <v>11</v>
      </c>
      <c r="O77" s="9"/>
      <c r="P77" s="9"/>
      <c r="Q77" s="9"/>
      <c r="R77" s="9"/>
      <c r="S77" s="9"/>
      <c r="T77" s="9" t="s">
        <v>11</v>
      </c>
      <c r="U77" s="9" t="s">
        <v>11</v>
      </c>
      <c r="V77" s="9"/>
      <c r="W77" s="9"/>
      <c r="X77" s="9"/>
      <c r="Y77" s="9"/>
      <c r="Z77" s="9"/>
      <c r="AA77" s="9" t="s">
        <v>11</v>
      </c>
      <c r="AB77" s="9" t="s">
        <v>11</v>
      </c>
      <c r="AC77" s="9"/>
      <c r="AD77" s="9"/>
      <c r="AE77" s="9"/>
      <c r="AF77" s="9"/>
      <c r="AG77" s="9"/>
      <c r="AH77" s="9" t="s">
        <v>11</v>
      </c>
      <c r="AI77" s="1"/>
      <c r="AJ77" s="9">
        <f t="shared" si="13"/>
        <v>4</v>
      </c>
      <c r="AK77" s="9">
        <f t="shared" si="14"/>
        <v>0</v>
      </c>
      <c r="AL77" s="9">
        <f t="shared" si="15"/>
        <v>0</v>
      </c>
      <c r="AM77" s="9">
        <f t="shared" si="16"/>
        <v>0</v>
      </c>
      <c r="AN77" s="9">
        <f t="shared" si="17"/>
        <v>0</v>
      </c>
      <c r="AO77" s="9">
        <f t="shared" si="18"/>
        <v>0</v>
      </c>
    </row>
    <row r="78" spans="2:41">
      <c r="B78" s="8" t="s">
        <v>26</v>
      </c>
      <c r="C78" s="8" t="s">
        <v>17</v>
      </c>
      <c r="D78" s="9"/>
      <c r="E78" s="9"/>
      <c r="F78" s="9" t="s">
        <v>11</v>
      </c>
      <c r="G78" s="9" t="s">
        <v>11</v>
      </c>
      <c r="H78" s="9" t="s">
        <v>3</v>
      </c>
      <c r="I78" s="9" t="s">
        <v>3</v>
      </c>
      <c r="J78" s="9" t="s">
        <v>3</v>
      </c>
      <c r="K78" s="9" t="s">
        <v>3</v>
      </c>
      <c r="L78" s="9"/>
      <c r="M78" s="9" t="s">
        <v>11</v>
      </c>
      <c r="N78" s="9" t="s">
        <v>11</v>
      </c>
      <c r="O78" s="9"/>
      <c r="P78" s="9"/>
      <c r="Q78" s="9"/>
      <c r="R78" s="9"/>
      <c r="S78" s="9"/>
      <c r="T78" s="9" t="s">
        <v>11</v>
      </c>
      <c r="U78" s="9" t="s">
        <v>11</v>
      </c>
      <c r="V78" s="9"/>
      <c r="W78" s="9"/>
      <c r="X78" s="9"/>
      <c r="Y78" s="9"/>
      <c r="Z78" s="9"/>
      <c r="AA78" s="9" t="s">
        <v>11</v>
      </c>
      <c r="AB78" s="9" t="s">
        <v>11</v>
      </c>
      <c r="AC78" s="9"/>
      <c r="AD78" s="9"/>
      <c r="AE78" s="9"/>
      <c r="AF78" s="9"/>
      <c r="AG78" s="9"/>
      <c r="AH78" s="9" t="s">
        <v>11</v>
      </c>
      <c r="AI78" s="1"/>
      <c r="AJ78" s="9">
        <f t="shared" si="13"/>
        <v>4</v>
      </c>
      <c r="AK78" s="9">
        <f t="shared" si="14"/>
        <v>0</v>
      </c>
      <c r="AL78" s="9">
        <f t="shared" si="15"/>
        <v>0</v>
      </c>
      <c r="AM78" s="9">
        <f t="shared" si="16"/>
        <v>0</v>
      </c>
      <c r="AN78" s="9">
        <f t="shared" si="17"/>
        <v>0</v>
      </c>
      <c r="AO78" s="9">
        <f t="shared" si="18"/>
        <v>0</v>
      </c>
    </row>
    <row r="79" spans="2:41">
      <c r="B79" s="8" t="s">
        <v>27</v>
      </c>
      <c r="C79" s="8" t="s">
        <v>10</v>
      </c>
      <c r="D79" s="9"/>
      <c r="E79" s="9"/>
      <c r="F79" s="9" t="s">
        <v>11</v>
      </c>
      <c r="G79" s="9" t="s">
        <v>11</v>
      </c>
      <c r="H79" s="9" t="s">
        <v>5</v>
      </c>
      <c r="I79" s="9" t="s">
        <v>3</v>
      </c>
      <c r="J79" s="9" t="s">
        <v>3</v>
      </c>
      <c r="K79" s="9"/>
      <c r="L79" s="9"/>
      <c r="M79" s="9" t="s">
        <v>11</v>
      </c>
      <c r="N79" s="9" t="s">
        <v>11</v>
      </c>
      <c r="O79" s="9"/>
      <c r="P79" s="9"/>
      <c r="Q79" s="9"/>
      <c r="R79" s="9"/>
      <c r="S79" s="9"/>
      <c r="T79" s="9" t="s">
        <v>11</v>
      </c>
      <c r="U79" s="9" t="s">
        <v>11</v>
      </c>
      <c r="V79" s="9"/>
      <c r="W79" s="9"/>
      <c r="X79" s="9"/>
      <c r="Y79" s="9"/>
      <c r="Z79" s="9"/>
      <c r="AA79" s="9" t="s">
        <v>11</v>
      </c>
      <c r="AB79" s="9" t="s">
        <v>11</v>
      </c>
      <c r="AC79" s="9"/>
      <c r="AD79" s="9"/>
      <c r="AE79" s="9"/>
      <c r="AF79" s="9"/>
      <c r="AG79" s="9"/>
      <c r="AH79" s="9" t="s">
        <v>11</v>
      </c>
      <c r="AI79" s="1"/>
      <c r="AJ79" s="9">
        <f t="shared" si="13"/>
        <v>2</v>
      </c>
      <c r="AK79" s="9">
        <f t="shared" si="14"/>
        <v>0</v>
      </c>
      <c r="AL79" s="9">
        <f t="shared" si="15"/>
        <v>1</v>
      </c>
      <c r="AM79" s="9">
        <f t="shared" si="16"/>
        <v>0</v>
      </c>
      <c r="AN79" s="9">
        <f t="shared" si="17"/>
        <v>0</v>
      </c>
      <c r="AO79" s="9">
        <f t="shared" si="18"/>
        <v>0</v>
      </c>
    </row>
    <row r="80" spans="2:41">
      <c r="B80" s="8" t="s">
        <v>28</v>
      </c>
      <c r="C80" s="8" t="s">
        <v>13</v>
      </c>
      <c r="D80" s="9"/>
      <c r="E80" s="9"/>
      <c r="F80" s="9" t="s">
        <v>11</v>
      </c>
      <c r="G80" s="9" t="s">
        <v>11</v>
      </c>
      <c r="H80" s="9" t="s">
        <v>3</v>
      </c>
      <c r="I80" s="9" t="s">
        <v>3</v>
      </c>
      <c r="J80" s="9" t="s">
        <v>6</v>
      </c>
      <c r="K80" s="9" t="s">
        <v>3</v>
      </c>
      <c r="L80" s="9"/>
      <c r="M80" s="9" t="s">
        <v>11</v>
      </c>
      <c r="N80" s="9" t="s">
        <v>11</v>
      </c>
      <c r="O80" s="9"/>
      <c r="P80" s="9"/>
      <c r="Q80" s="9"/>
      <c r="R80" s="9"/>
      <c r="S80" s="9"/>
      <c r="T80" s="9" t="s">
        <v>11</v>
      </c>
      <c r="U80" s="9" t="s">
        <v>11</v>
      </c>
      <c r="V80" s="9"/>
      <c r="W80" s="9"/>
      <c r="X80" s="9"/>
      <c r="Y80" s="9"/>
      <c r="Z80" s="9"/>
      <c r="AA80" s="9" t="s">
        <v>11</v>
      </c>
      <c r="AB80" s="9" t="s">
        <v>11</v>
      </c>
      <c r="AC80" s="9"/>
      <c r="AD80" s="9"/>
      <c r="AE80" s="9"/>
      <c r="AF80" s="9"/>
      <c r="AG80" s="9"/>
      <c r="AH80" s="9" t="s">
        <v>11</v>
      </c>
      <c r="AI80" s="1"/>
      <c r="AJ80" s="9">
        <f t="shared" si="13"/>
        <v>3</v>
      </c>
      <c r="AK80" s="9">
        <f t="shared" si="14"/>
        <v>0</v>
      </c>
      <c r="AL80" s="9">
        <f t="shared" si="15"/>
        <v>0</v>
      </c>
      <c r="AM80" s="9">
        <f t="shared" si="16"/>
        <v>1</v>
      </c>
      <c r="AN80" s="9">
        <f t="shared" si="17"/>
        <v>0</v>
      </c>
      <c r="AO80" s="9">
        <f t="shared" si="18"/>
        <v>0</v>
      </c>
    </row>
    <row r="81" spans="2:41">
      <c r="B81" s="8" t="s">
        <v>29</v>
      </c>
      <c r="C81" s="8" t="s">
        <v>17</v>
      </c>
      <c r="D81" s="9"/>
      <c r="E81" s="9"/>
      <c r="F81" s="9" t="s">
        <v>11</v>
      </c>
      <c r="G81" s="9" t="s">
        <v>11</v>
      </c>
      <c r="H81" s="9" t="s">
        <v>3</v>
      </c>
      <c r="I81" s="9" t="s">
        <v>3</v>
      </c>
      <c r="J81" s="9" t="s">
        <v>3</v>
      </c>
      <c r="K81" s="9" t="s">
        <v>3</v>
      </c>
      <c r="L81" s="9"/>
      <c r="M81" s="9" t="s">
        <v>11</v>
      </c>
      <c r="N81" s="9" t="s">
        <v>11</v>
      </c>
      <c r="O81" s="9"/>
      <c r="P81" s="9"/>
      <c r="Q81" s="9"/>
      <c r="R81" s="9"/>
      <c r="S81" s="9"/>
      <c r="T81" s="9" t="s">
        <v>11</v>
      </c>
      <c r="U81" s="9" t="s">
        <v>11</v>
      </c>
      <c r="V81" s="9"/>
      <c r="W81" s="9"/>
      <c r="X81" s="9"/>
      <c r="Y81" s="9"/>
      <c r="Z81" s="9"/>
      <c r="AA81" s="9" t="s">
        <v>11</v>
      </c>
      <c r="AB81" s="9" t="s">
        <v>11</v>
      </c>
      <c r="AC81" s="9"/>
      <c r="AD81" s="9"/>
      <c r="AE81" s="9"/>
      <c r="AF81" s="9"/>
      <c r="AG81" s="9"/>
      <c r="AH81" s="9" t="s">
        <v>11</v>
      </c>
      <c r="AI81" s="1"/>
      <c r="AJ81" s="9">
        <f t="shared" si="13"/>
        <v>4</v>
      </c>
      <c r="AK81" s="9">
        <f t="shared" si="14"/>
        <v>0</v>
      </c>
      <c r="AL81" s="9">
        <f t="shared" si="15"/>
        <v>0</v>
      </c>
      <c r="AM81" s="9">
        <f t="shared" si="16"/>
        <v>0</v>
      </c>
      <c r="AN81" s="9">
        <f t="shared" si="17"/>
        <v>0</v>
      </c>
      <c r="AO81" s="9">
        <f t="shared" si="18"/>
        <v>0</v>
      </c>
    </row>
    <row r="82" spans="2:41">
      <c r="B82" s="8" t="s">
        <v>30</v>
      </c>
      <c r="C82" s="8" t="s">
        <v>13</v>
      </c>
      <c r="D82" s="9"/>
      <c r="E82" s="9"/>
      <c r="F82" s="9" t="s">
        <v>11</v>
      </c>
      <c r="G82" s="9" t="s">
        <v>11</v>
      </c>
      <c r="H82" s="9" t="s">
        <v>3</v>
      </c>
      <c r="I82" s="9" t="s">
        <v>3</v>
      </c>
      <c r="J82" s="9" t="s">
        <v>3</v>
      </c>
      <c r="K82" s="9" t="s">
        <v>3</v>
      </c>
      <c r="L82" s="9"/>
      <c r="M82" s="9" t="s">
        <v>11</v>
      </c>
      <c r="N82" s="9" t="s">
        <v>11</v>
      </c>
      <c r="O82" s="9"/>
      <c r="P82" s="9"/>
      <c r="Q82" s="9"/>
      <c r="R82" s="9"/>
      <c r="S82" s="9"/>
      <c r="T82" s="9" t="s">
        <v>11</v>
      </c>
      <c r="U82" s="9" t="s">
        <v>11</v>
      </c>
      <c r="V82" s="9"/>
      <c r="W82" s="9"/>
      <c r="X82" s="9"/>
      <c r="Y82" s="9"/>
      <c r="Z82" s="9"/>
      <c r="AA82" s="9" t="s">
        <v>11</v>
      </c>
      <c r="AB82" s="9" t="s">
        <v>11</v>
      </c>
      <c r="AC82" s="9"/>
      <c r="AD82" s="9"/>
      <c r="AE82" s="9"/>
      <c r="AF82" s="9"/>
      <c r="AG82" s="9"/>
      <c r="AH82" s="9" t="s">
        <v>11</v>
      </c>
      <c r="AI82" s="1"/>
      <c r="AJ82" s="9">
        <f t="shared" si="13"/>
        <v>4</v>
      </c>
      <c r="AK82" s="9">
        <f t="shared" si="14"/>
        <v>0</v>
      </c>
      <c r="AL82" s="9">
        <f t="shared" si="15"/>
        <v>0</v>
      </c>
      <c r="AM82" s="9">
        <f t="shared" si="16"/>
        <v>0</v>
      </c>
      <c r="AN82" s="9">
        <f t="shared" si="17"/>
        <v>0</v>
      </c>
      <c r="AO82" s="9">
        <f t="shared" si="18"/>
        <v>0</v>
      </c>
    </row>
    <row r="83" spans="2:41">
      <c r="B83" s="8" t="s">
        <v>31</v>
      </c>
      <c r="C83" s="8" t="s">
        <v>10</v>
      </c>
      <c r="D83" s="9"/>
      <c r="E83" s="9"/>
      <c r="F83" s="9" t="s">
        <v>11</v>
      </c>
      <c r="G83" s="9" t="s">
        <v>11</v>
      </c>
      <c r="H83" s="9" t="s">
        <v>3</v>
      </c>
      <c r="I83" s="9" t="s">
        <v>3</v>
      </c>
      <c r="J83" s="9" t="s">
        <v>3</v>
      </c>
      <c r="K83" s="9"/>
      <c r="L83" s="9"/>
      <c r="M83" s="9" t="s">
        <v>11</v>
      </c>
      <c r="N83" s="9" t="s">
        <v>11</v>
      </c>
      <c r="O83" s="9"/>
      <c r="P83" s="9"/>
      <c r="Q83" s="9"/>
      <c r="R83" s="9"/>
      <c r="S83" s="9"/>
      <c r="T83" s="9" t="s">
        <v>11</v>
      </c>
      <c r="U83" s="9" t="s">
        <v>11</v>
      </c>
      <c r="V83" s="9"/>
      <c r="W83" s="9"/>
      <c r="X83" s="9"/>
      <c r="Y83" s="9"/>
      <c r="Z83" s="9"/>
      <c r="AA83" s="9" t="s">
        <v>11</v>
      </c>
      <c r="AB83" s="9" t="s">
        <v>11</v>
      </c>
      <c r="AC83" s="9"/>
      <c r="AD83" s="9"/>
      <c r="AE83" s="9"/>
      <c r="AF83" s="9"/>
      <c r="AG83" s="9"/>
      <c r="AH83" s="9" t="s">
        <v>11</v>
      </c>
      <c r="AI83" s="1"/>
      <c r="AJ83" s="9">
        <f t="shared" si="13"/>
        <v>3</v>
      </c>
      <c r="AK83" s="9">
        <f t="shared" si="14"/>
        <v>0</v>
      </c>
      <c r="AL83" s="9">
        <f t="shared" si="15"/>
        <v>0</v>
      </c>
      <c r="AM83" s="9">
        <f t="shared" si="16"/>
        <v>0</v>
      </c>
      <c r="AN83" s="9">
        <f t="shared" si="17"/>
        <v>0</v>
      </c>
      <c r="AO83" s="9">
        <f t="shared" si="18"/>
        <v>0</v>
      </c>
    </row>
    <row r="84" spans="2:41">
      <c r="B84" s="8" t="s">
        <v>32</v>
      </c>
      <c r="C84" s="8" t="s">
        <v>10</v>
      </c>
      <c r="D84" s="9"/>
      <c r="E84" s="9"/>
      <c r="F84" s="9" t="s">
        <v>11</v>
      </c>
      <c r="G84" s="9" t="s">
        <v>11</v>
      </c>
      <c r="H84" s="9" t="s">
        <v>5</v>
      </c>
      <c r="I84" s="9" t="s">
        <v>3</v>
      </c>
      <c r="J84" s="9" t="s">
        <v>3</v>
      </c>
      <c r="K84" s="9" t="s">
        <v>3</v>
      </c>
      <c r="L84" s="9"/>
      <c r="M84" s="9" t="s">
        <v>11</v>
      </c>
      <c r="N84" s="9" t="s">
        <v>11</v>
      </c>
      <c r="O84" s="9"/>
      <c r="P84" s="9"/>
      <c r="Q84" s="9"/>
      <c r="R84" s="9"/>
      <c r="S84" s="9"/>
      <c r="T84" s="9" t="s">
        <v>11</v>
      </c>
      <c r="U84" s="9" t="s">
        <v>11</v>
      </c>
      <c r="V84" s="9"/>
      <c r="W84" s="9"/>
      <c r="X84" s="9"/>
      <c r="Y84" s="9"/>
      <c r="Z84" s="9"/>
      <c r="AA84" s="9" t="s">
        <v>11</v>
      </c>
      <c r="AB84" s="9" t="s">
        <v>11</v>
      </c>
      <c r="AC84" s="9"/>
      <c r="AD84" s="9"/>
      <c r="AE84" s="9"/>
      <c r="AF84" s="9"/>
      <c r="AG84" s="9"/>
      <c r="AH84" s="9" t="s">
        <v>11</v>
      </c>
      <c r="AI84" s="15"/>
      <c r="AJ84" s="9">
        <f t="shared" si="13"/>
        <v>3</v>
      </c>
      <c r="AK84" s="9">
        <f t="shared" si="14"/>
        <v>0</v>
      </c>
      <c r="AL84" s="9">
        <f t="shared" si="15"/>
        <v>1</v>
      </c>
      <c r="AM84" s="9">
        <f t="shared" si="16"/>
        <v>0</v>
      </c>
      <c r="AN84" s="9">
        <f t="shared" si="17"/>
        <v>0</v>
      </c>
      <c r="AO84" s="9">
        <f t="shared" si="18"/>
        <v>0</v>
      </c>
    </row>
    <row r="85" spans="2:41">
      <c r="B85" s="8" t="s">
        <v>33</v>
      </c>
      <c r="C85" s="8" t="s">
        <v>13</v>
      </c>
      <c r="D85" s="9"/>
      <c r="E85" s="9"/>
      <c r="F85" s="9" t="s">
        <v>11</v>
      </c>
      <c r="G85" s="9" t="s">
        <v>11</v>
      </c>
      <c r="H85" s="21" t="s">
        <v>6</v>
      </c>
      <c r="I85" s="9" t="s">
        <v>6</v>
      </c>
      <c r="J85" s="9" t="s">
        <v>6</v>
      </c>
      <c r="K85" s="9" t="s">
        <v>6</v>
      </c>
      <c r="L85" s="9" t="s">
        <v>6</v>
      </c>
      <c r="M85" s="9" t="s">
        <v>11</v>
      </c>
      <c r="N85" s="9" t="s">
        <v>11</v>
      </c>
      <c r="O85" s="9"/>
      <c r="P85" s="9"/>
      <c r="Q85" s="9"/>
      <c r="R85" s="9"/>
      <c r="S85" s="9"/>
      <c r="T85" s="9" t="s">
        <v>11</v>
      </c>
      <c r="U85" s="9" t="s">
        <v>11</v>
      </c>
      <c r="V85" s="9"/>
      <c r="W85" s="9"/>
      <c r="X85" s="9"/>
      <c r="Y85" s="9"/>
      <c r="Z85" s="9"/>
      <c r="AA85" s="9" t="s">
        <v>11</v>
      </c>
      <c r="AB85" s="9" t="s">
        <v>11</v>
      </c>
      <c r="AC85" s="9"/>
      <c r="AD85" s="9"/>
      <c r="AE85" s="9"/>
      <c r="AF85" s="9"/>
      <c r="AG85" s="9"/>
      <c r="AH85" s="9" t="s">
        <v>11</v>
      </c>
      <c r="AI85" s="1"/>
      <c r="AJ85" s="9">
        <f t="shared" si="13"/>
        <v>0</v>
      </c>
      <c r="AK85" s="9">
        <f t="shared" si="14"/>
        <v>0</v>
      </c>
      <c r="AL85" s="9">
        <f t="shared" si="15"/>
        <v>0</v>
      </c>
      <c r="AM85" s="9">
        <f t="shared" si="16"/>
        <v>5</v>
      </c>
      <c r="AN85" s="9">
        <f t="shared" si="17"/>
        <v>0</v>
      </c>
      <c r="AO85" s="9">
        <f t="shared" si="18"/>
        <v>0</v>
      </c>
    </row>
    <row r="86" spans="2:41">
      <c r="B86" s="8" t="s">
        <v>34</v>
      </c>
      <c r="C86" s="8" t="s">
        <v>13</v>
      </c>
      <c r="D86" s="9"/>
      <c r="E86" s="9"/>
      <c r="F86" s="9" t="s">
        <v>11</v>
      </c>
      <c r="G86" s="9" t="s">
        <v>11</v>
      </c>
      <c r="H86" s="9" t="s">
        <v>7</v>
      </c>
      <c r="I86" s="9" t="s">
        <v>3</v>
      </c>
      <c r="J86" s="9" t="s">
        <v>3</v>
      </c>
      <c r="K86" s="9"/>
      <c r="L86" s="9"/>
      <c r="M86" s="9" t="s">
        <v>11</v>
      </c>
      <c r="N86" s="9" t="s">
        <v>11</v>
      </c>
      <c r="O86" s="9"/>
      <c r="P86" s="9"/>
      <c r="Q86" s="9"/>
      <c r="R86" s="9"/>
      <c r="S86" s="9"/>
      <c r="T86" s="9" t="s">
        <v>11</v>
      </c>
      <c r="U86" s="9" t="s">
        <v>11</v>
      </c>
      <c r="V86" s="9"/>
      <c r="W86" s="9"/>
      <c r="X86" s="9"/>
      <c r="Y86" s="9"/>
      <c r="Z86" s="9"/>
      <c r="AA86" s="9" t="s">
        <v>11</v>
      </c>
      <c r="AB86" s="9" t="s">
        <v>11</v>
      </c>
      <c r="AC86" s="9"/>
      <c r="AD86" s="9"/>
      <c r="AE86" s="9"/>
      <c r="AF86" s="9"/>
      <c r="AG86" s="9"/>
      <c r="AH86" s="9" t="s">
        <v>11</v>
      </c>
      <c r="AI86" s="1"/>
      <c r="AJ86" s="9">
        <f t="shared" si="13"/>
        <v>2</v>
      </c>
      <c r="AK86" s="9">
        <f t="shared" si="14"/>
        <v>0</v>
      </c>
      <c r="AL86" s="9">
        <f t="shared" si="15"/>
        <v>0</v>
      </c>
      <c r="AM86" s="9">
        <f t="shared" si="16"/>
        <v>0</v>
      </c>
      <c r="AN86" s="9">
        <f t="shared" si="17"/>
        <v>1</v>
      </c>
      <c r="AO86" s="9">
        <f t="shared" si="18"/>
        <v>0</v>
      </c>
    </row>
    <row r="87" spans="2:41">
      <c r="B87" s="8" t="s">
        <v>35</v>
      </c>
      <c r="C87" s="8" t="s">
        <v>13</v>
      </c>
      <c r="D87" s="9"/>
      <c r="E87" s="9"/>
      <c r="F87" s="9" t="s">
        <v>11</v>
      </c>
      <c r="G87" s="9" t="s">
        <v>11</v>
      </c>
      <c r="H87" s="9" t="s">
        <v>3</v>
      </c>
      <c r="I87" s="9" t="s">
        <v>3</v>
      </c>
      <c r="J87" s="9" t="s">
        <v>3</v>
      </c>
      <c r="K87" s="9" t="s">
        <v>3</v>
      </c>
      <c r="L87" s="9"/>
      <c r="M87" s="9" t="s">
        <v>11</v>
      </c>
      <c r="N87" s="9" t="s">
        <v>11</v>
      </c>
      <c r="O87" s="9"/>
      <c r="P87" s="9"/>
      <c r="Q87" s="9"/>
      <c r="R87" s="9"/>
      <c r="S87" s="9"/>
      <c r="T87" s="9" t="s">
        <v>11</v>
      </c>
      <c r="U87" s="9" t="s">
        <v>11</v>
      </c>
      <c r="V87" s="9"/>
      <c r="W87" s="9"/>
      <c r="X87" s="9"/>
      <c r="Y87" s="9"/>
      <c r="Z87" s="9"/>
      <c r="AA87" s="9" t="s">
        <v>11</v>
      </c>
      <c r="AB87" s="9" t="s">
        <v>11</v>
      </c>
      <c r="AC87" s="9"/>
      <c r="AD87" s="9"/>
      <c r="AE87" s="9"/>
      <c r="AF87" s="9"/>
      <c r="AG87" s="9"/>
      <c r="AH87" s="9" t="s">
        <v>11</v>
      </c>
      <c r="AI87" s="1"/>
      <c r="AJ87" s="9">
        <f t="shared" si="13"/>
        <v>4</v>
      </c>
      <c r="AK87" s="9">
        <f t="shared" si="14"/>
        <v>0</v>
      </c>
      <c r="AL87" s="9">
        <f t="shared" si="15"/>
        <v>0</v>
      </c>
      <c r="AM87" s="9">
        <f t="shared" si="16"/>
        <v>0</v>
      </c>
      <c r="AN87" s="9">
        <f t="shared" si="17"/>
        <v>0</v>
      </c>
      <c r="AO87" s="9">
        <f t="shared" si="18"/>
        <v>0</v>
      </c>
    </row>
    <row r="88" spans="2:41">
      <c r="B88" s="8" t="s">
        <v>36</v>
      </c>
      <c r="C88" s="8" t="s">
        <v>10</v>
      </c>
      <c r="D88" s="9"/>
      <c r="E88" s="9"/>
      <c r="F88" s="9" t="s">
        <v>11</v>
      </c>
      <c r="G88" s="9" t="s">
        <v>11</v>
      </c>
      <c r="H88" s="9" t="s">
        <v>5</v>
      </c>
      <c r="I88" s="9" t="s">
        <v>3</v>
      </c>
      <c r="J88" s="9" t="s">
        <v>3</v>
      </c>
      <c r="K88" s="9"/>
      <c r="L88" s="9"/>
      <c r="M88" s="9" t="s">
        <v>11</v>
      </c>
      <c r="N88" s="9" t="s">
        <v>11</v>
      </c>
      <c r="O88" s="9"/>
      <c r="P88" s="9"/>
      <c r="Q88" s="9"/>
      <c r="R88" s="9"/>
      <c r="S88" s="9"/>
      <c r="T88" s="9" t="s">
        <v>11</v>
      </c>
      <c r="U88" s="9" t="s">
        <v>11</v>
      </c>
      <c r="V88" s="9"/>
      <c r="W88" s="9"/>
      <c r="X88" s="9"/>
      <c r="Y88" s="9"/>
      <c r="Z88" s="9"/>
      <c r="AA88" s="9" t="s">
        <v>11</v>
      </c>
      <c r="AB88" s="9" t="s">
        <v>11</v>
      </c>
      <c r="AC88" s="9"/>
      <c r="AD88" s="9"/>
      <c r="AE88" s="9"/>
      <c r="AF88" s="9"/>
      <c r="AG88" s="9"/>
      <c r="AH88" s="9" t="s">
        <v>11</v>
      </c>
      <c r="AI88" s="1"/>
      <c r="AJ88" s="9">
        <f t="shared" si="13"/>
        <v>2</v>
      </c>
      <c r="AK88" s="9">
        <f t="shared" si="14"/>
        <v>0</v>
      </c>
      <c r="AL88" s="9">
        <f t="shared" si="15"/>
        <v>1</v>
      </c>
      <c r="AM88" s="9">
        <f t="shared" si="16"/>
        <v>0</v>
      </c>
      <c r="AN88" s="9">
        <f t="shared" si="17"/>
        <v>0</v>
      </c>
      <c r="AO88" s="9">
        <f t="shared" si="18"/>
        <v>0</v>
      </c>
    </row>
    <row r="89" spans="2:41">
      <c r="B89" s="8" t="s">
        <v>37</v>
      </c>
      <c r="C89" s="8" t="s">
        <v>13</v>
      </c>
      <c r="D89" s="9"/>
      <c r="E89" s="9"/>
      <c r="F89" s="9" t="s">
        <v>11</v>
      </c>
      <c r="G89" s="9" t="s">
        <v>11</v>
      </c>
      <c r="H89" s="9" t="s">
        <v>3</v>
      </c>
      <c r="I89" s="9" t="s">
        <v>3</v>
      </c>
      <c r="J89" s="9" t="s">
        <v>3</v>
      </c>
      <c r="K89" s="9" t="s">
        <v>3</v>
      </c>
      <c r="L89" s="9"/>
      <c r="M89" s="9" t="s">
        <v>11</v>
      </c>
      <c r="N89" s="9" t="s">
        <v>11</v>
      </c>
      <c r="O89" s="9"/>
      <c r="P89" s="9"/>
      <c r="Q89" s="9"/>
      <c r="R89" s="9"/>
      <c r="S89" s="9"/>
      <c r="T89" s="9" t="s">
        <v>11</v>
      </c>
      <c r="U89" s="9" t="s">
        <v>11</v>
      </c>
      <c r="V89" s="9"/>
      <c r="W89" s="9"/>
      <c r="X89" s="9"/>
      <c r="Y89" s="9"/>
      <c r="Z89" s="9"/>
      <c r="AA89" s="9" t="s">
        <v>11</v>
      </c>
      <c r="AB89" s="9" t="s">
        <v>11</v>
      </c>
      <c r="AC89" s="9"/>
      <c r="AD89" s="9"/>
      <c r="AE89" s="9"/>
      <c r="AF89" s="9"/>
      <c r="AG89" s="9"/>
      <c r="AH89" s="9" t="s">
        <v>11</v>
      </c>
      <c r="AI89" s="1"/>
      <c r="AJ89" s="9">
        <f t="shared" si="13"/>
        <v>4</v>
      </c>
      <c r="AK89" s="9">
        <f t="shared" si="14"/>
        <v>0</v>
      </c>
      <c r="AL89" s="9">
        <f t="shared" si="15"/>
        <v>0</v>
      </c>
      <c r="AM89" s="9">
        <f t="shared" si="16"/>
        <v>0</v>
      </c>
      <c r="AN89" s="9">
        <f t="shared" si="17"/>
        <v>0</v>
      </c>
      <c r="AO89" s="9">
        <f t="shared" si="18"/>
        <v>0</v>
      </c>
    </row>
    <row r="90" spans="2:41">
      <c r="B90" s="8" t="s">
        <v>38</v>
      </c>
      <c r="C90" s="8" t="s">
        <v>10</v>
      </c>
      <c r="D90" s="9"/>
      <c r="E90" s="9"/>
      <c r="F90" s="9" t="s">
        <v>11</v>
      </c>
      <c r="G90" s="9" t="s">
        <v>11</v>
      </c>
      <c r="H90" s="9" t="s">
        <v>3</v>
      </c>
      <c r="I90" s="9" t="s">
        <v>3</v>
      </c>
      <c r="J90" s="9" t="s">
        <v>8</v>
      </c>
      <c r="K90" s="9"/>
      <c r="L90" s="9"/>
      <c r="M90" s="9" t="s">
        <v>11</v>
      </c>
      <c r="N90" s="9" t="s">
        <v>11</v>
      </c>
      <c r="O90" s="9"/>
      <c r="P90" s="9"/>
      <c r="Q90" s="9"/>
      <c r="R90" s="9"/>
      <c r="S90" s="9"/>
      <c r="T90" s="9" t="s">
        <v>11</v>
      </c>
      <c r="U90" s="9" t="s">
        <v>11</v>
      </c>
      <c r="V90" s="9"/>
      <c r="W90" s="9"/>
      <c r="X90" s="9"/>
      <c r="Y90" s="9"/>
      <c r="Z90" s="9"/>
      <c r="AA90" s="9" t="s">
        <v>11</v>
      </c>
      <c r="AB90" s="9" t="s">
        <v>11</v>
      </c>
      <c r="AC90" s="9"/>
      <c r="AD90" s="9"/>
      <c r="AE90" s="9"/>
      <c r="AF90" s="9"/>
      <c r="AG90" s="9"/>
      <c r="AH90" s="9" t="s">
        <v>11</v>
      </c>
      <c r="AI90" s="1"/>
      <c r="AJ90" s="9">
        <f t="shared" si="13"/>
        <v>2</v>
      </c>
      <c r="AK90" s="9">
        <f t="shared" si="14"/>
        <v>0</v>
      </c>
      <c r="AL90" s="9">
        <f t="shared" si="15"/>
        <v>0</v>
      </c>
      <c r="AM90" s="9">
        <f t="shared" si="16"/>
        <v>0</v>
      </c>
      <c r="AN90" s="9">
        <f t="shared" si="17"/>
        <v>0</v>
      </c>
      <c r="AO90" s="9">
        <f t="shared" si="18"/>
        <v>1</v>
      </c>
    </row>
    <row r="91" spans="2:41">
      <c r="B91" s="8" t="s">
        <v>39</v>
      </c>
      <c r="C91" s="8" t="s">
        <v>13</v>
      </c>
      <c r="D91" s="9"/>
      <c r="E91" s="9"/>
      <c r="F91" s="9" t="s">
        <v>11</v>
      </c>
      <c r="G91" s="9" t="s">
        <v>11</v>
      </c>
      <c r="H91" s="9" t="s">
        <v>3</v>
      </c>
      <c r="I91" s="9" t="s">
        <v>3</v>
      </c>
      <c r="J91" s="9" t="s">
        <v>3</v>
      </c>
      <c r="K91" s="9" t="s">
        <v>3</v>
      </c>
      <c r="L91" s="9"/>
      <c r="M91" s="9" t="s">
        <v>11</v>
      </c>
      <c r="N91" s="9" t="s">
        <v>11</v>
      </c>
      <c r="O91" s="9"/>
      <c r="P91" s="9"/>
      <c r="Q91" s="9"/>
      <c r="R91" s="9"/>
      <c r="S91" s="9"/>
      <c r="T91" s="9" t="s">
        <v>11</v>
      </c>
      <c r="U91" s="9" t="s">
        <v>11</v>
      </c>
      <c r="V91" s="9"/>
      <c r="W91" s="9"/>
      <c r="X91" s="9"/>
      <c r="Y91" s="9"/>
      <c r="Z91" s="9"/>
      <c r="AA91" s="9" t="s">
        <v>11</v>
      </c>
      <c r="AB91" s="9" t="s">
        <v>11</v>
      </c>
      <c r="AC91" s="9"/>
      <c r="AD91" s="9"/>
      <c r="AE91" s="9"/>
      <c r="AF91" s="9"/>
      <c r="AG91" s="9"/>
      <c r="AH91" s="9" t="s">
        <v>11</v>
      </c>
      <c r="AI91" s="1"/>
      <c r="AJ91" s="9">
        <f t="shared" si="13"/>
        <v>4</v>
      </c>
      <c r="AK91" s="9">
        <f t="shared" si="14"/>
        <v>0</v>
      </c>
      <c r="AL91" s="9">
        <f t="shared" si="15"/>
        <v>0</v>
      </c>
      <c r="AM91" s="9">
        <f t="shared" si="16"/>
        <v>0</v>
      </c>
      <c r="AN91" s="9">
        <f t="shared" si="17"/>
        <v>0</v>
      </c>
      <c r="AO91" s="9">
        <f t="shared" si="18"/>
        <v>0</v>
      </c>
    </row>
    <row r="92" spans="2:41">
      <c r="B92" s="8" t="s">
        <v>40</v>
      </c>
      <c r="C92" s="8" t="s">
        <v>13</v>
      </c>
      <c r="D92" s="9"/>
      <c r="E92" s="9"/>
      <c r="F92" s="9" t="s">
        <v>11</v>
      </c>
      <c r="G92" s="9" t="s">
        <v>11</v>
      </c>
      <c r="H92" s="9" t="s">
        <v>3</v>
      </c>
      <c r="I92" s="9" t="s">
        <v>3</v>
      </c>
      <c r="J92" s="9" t="s">
        <v>3</v>
      </c>
      <c r="K92" s="9" t="s">
        <v>3</v>
      </c>
      <c r="L92" s="9"/>
      <c r="M92" s="9" t="s">
        <v>11</v>
      </c>
      <c r="N92" s="9" t="s">
        <v>11</v>
      </c>
      <c r="O92" s="9"/>
      <c r="P92" s="9"/>
      <c r="Q92" s="9"/>
      <c r="R92" s="9"/>
      <c r="S92" s="9"/>
      <c r="T92" s="9" t="s">
        <v>11</v>
      </c>
      <c r="U92" s="9" t="s">
        <v>11</v>
      </c>
      <c r="V92" s="9"/>
      <c r="W92" s="9"/>
      <c r="X92" s="9"/>
      <c r="Y92" s="9"/>
      <c r="Z92" s="9"/>
      <c r="AA92" s="9" t="s">
        <v>11</v>
      </c>
      <c r="AB92" s="9" t="s">
        <v>11</v>
      </c>
      <c r="AC92" s="9"/>
      <c r="AD92" s="9"/>
      <c r="AE92" s="9"/>
      <c r="AF92" s="9"/>
      <c r="AG92" s="9"/>
      <c r="AH92" s="9" t="s">
        <v>11</v>
      </c>
      <c r="AI92" s="1"/>
      <c r="AJ92" s="9">
        <f t="shared" si="13"/>
        <v>4</v>
      </c>
      <c r="AK92" s="9">
        <f t="shared" si="14"/>
        <v>0</v>
      </c>
      <c r="AL92" s="9">
        <f t="shared" si="15"/>
        <v>0</v>
      </c>
      <c r="AM92" s="9">
        <f t="shared" si="16"/>
        <v>0</v>
      </c>
      <c r="AN92" s="9">
        <f t="shared" si="17"/>
        <v>0</v>
      </c>
      <c r="AO92" s="9">
        <f t="shared" si="18"/>
        <v>0</v>
      </c>
    </row>
    <row r="93" spans="2:41">
      <c r="B93" s="8" t="s">
        <v>41</v>
      </c>
      <c r="C93" s="8" t="s">
        <v>17</v>
      </c>
      <c r="D93" s="9"/>
      <c r="E93" s="9"/>
      <c r="F93" s="9" t="s">
        <v>11</v>
      </c>
      <c r="G93" s="9" t="s">
        <v>11</v>
      </c>
      <c r="H93" s="9" t="s">
        <v>3</v>
      </c>
      <c r="I93" s="9" t="s">
        <v>3</v>
      </c>
      <c r="J93" s="9" t="s">
        <v>3</v>
      </c>
      <c r="K93" s="9" t="s">
        <v>3</v>
      </c>
      <c r="L93" s="9"/>
      <c r="M93" s="9" t="s">
        <v>11</v>
      </c>
      <c r="N93" s="9" t="s">
        <v>11</v>
      </c>
      <c r="O93" s="9"/>
      <c r="P93" s="9"/>
      <c r="Q93" s="9"/>
      <c r="R93" s="9"/>
      <c r="S93" s="9"/>
      <c r="T93" s="9" t="s">
        <v>11</v>
      </c>
      <c r="U93" s="9" t="s">
        <v>11</v>
      </c>
      <c r="V93" s="9"/>
      <c r="W93" s="9"/>
      <c r="X93" s="9"/>
      <c r="Y93" s="9"/>
      <c r="Z93" s="9"/>
      <c r="AA93" s="9" t="s">
        <v>11</v>
      </c>
      <c r="AB93" s="9" t="s">
        <v>11</v>
      </c>
      <c r="AC93" s="9"/>
      <c r="AD93" s="9"/>
      <c r="AE93" s="9"/>
      <c r="AF93" s="9"/>
      <c r="AG93" s="9"/>
      <c r="AH93" s="9" t="s">
        <v>11</v>
      </c>
      <c r="AI93" s="1"/>
      <c r="AJ93" s="9">
        <f t="shared" si="13"/>
        <v>4</v>
      </c>
      <c r="AK93" s="9">
        <f t="shared" si="14"/>
        <v>0</v>
      </c>
      <c r="AL93" s="9">
        <f t="shared" si="15"/>
        <v>0</v>
      </c>
      <c r="AM93" s="9">
        <f t="shared" si="16"/>
        <v>0</v>
      </c>
      <c r="AN93" s="9">
        <f t="shared" si="17"/>
        <v>0</v>
      </c>
      <c r="AO93" s="9">
        <f t="shared" si="18"/>
        <v>0</v>
      </c>
    </row>
    <row r="94" spans="2:41">
      <c r="B94" s="8" t="s">
        <v>42</v>
      </c>
      <c r="C94" s="8" t="s">
        <v>10</v>
      </c>
      <c r="D94" s="9"/>
      <c r="E94" s="9"/>
      <c r="F94" s="9" t="s">
        <v>11</v>
      </c>
      <c r="G94" s="9" t="s">
        <v>11</v>
      </c>
      <c r="H94" s="9" t="s">
        <v>3</v>
      </c>
      <c r="I94" s="9" t="s">
        <v>3</v>
      </c>
      <c r="J94" s="9" t="s">
        <v>3</v>
      </c>
      <c r="K94" s="9" t="s">
        <v>3</v>
      </c>
      <c r="L94" s="9"/>
      <c r="M94" s="9" t="s">
        <v>11</v>
      </c>
      <c r="N94" s="9" t="s">
        <v>11</v>
      </c>
      <c r="O94" s="9"/>
      <c r="P94" s="9"/>
      <c r="Q94" s="9"/>
      <c r="R94" s="9"/>
      <c r="S94" s="9"/>
      <c r="T94" s="9" t="s">
        <v>11</v>
      </c>
      <c r="U94" s="9" t="s">
        <v>11</v>
      </c>
      <c r="V94" s="9"/>
      <c r="W94" s="9"/>
      <c r="X94" s="9"/>
      <c r="Y94" s="9"/>
      <c r="Z94" s="9"/>
      <c r="AA94" s="9" t="s">
        <v>11</v>
      </c>
      <c r="AB94" s="9" t="s">
        <v>11</v>
      </c>
      <c r="AC94" s="9"/>
      <c r="AD94" s="9"/>
      <c r="AE94" s="9"/>
      <c r="AF94" s="9"/>
      <c r="AG94" s="9"/>
      <c r="AH94" s="9" t="s">
        <v>11</v>
      </c>
      <c r="AI94" s="1"/>
      <c r="AJ94" s="9">
        <f t="shared" si="13"/>
        <v>4</v>
      </c>
      <c r="AK94" s="9">
        <f t="shared" si="14"/>
        <v>0</v>
      </c>
      <c r="AL94" s="9">
        <f t="shared" si="15"/>
        <v>0</v>
      </c>
      <c r="AM94" s="9">
        <f t="shared" si="16"/>
        <v>0</v>
      </c>
      <c r="AN94" s="9">
        <f t="shared" si="17"/>
        <v>0</v>
      </c>
      <c r="AO94" s="9">
        <f t="shared" si="18"/>
        <v>0</v>
      </c>
    </row>
    <row r="95" spans="2:41">
      <c r="B95" s="8" t="s">
        <v>43</v>
      </c>
      <c r="C95" s="8" t="s">
        <v>13</v>
      </c>
      <c r="D95" s="9"/>
      <c r="E95" s="9"/>
      <c r="F95" s="9" t="s">
        <v>11</v>
      </c>
      <c r="G95" s="9" t="s">
        <v>11</v>
      </c>
      <c r="H95" s="9" t="s">
        <v>3</v>
      </c>
      <c r="I95" s="9" t="s">
        <v>3</v>
      </c>
      <c r="J95" s="9" t="s">
        <v>3</v>
      </c>
      <c r="K95" s="9" t="s">
        <v>3</v>
      </c>
      <c r="L95" s="9"/>
      <c r="M95" s="9" t="s">
        <v>11</v>
      </c>
      <c r="N95" s="9" t="s">
        <v>11</v>
      </c>
      <c r="O95" s="9"/>
      <c r="P95" s="9"/>
      <c r="Q95" s="9"/>
      <c r="R95" s="9"/>
      <c r="S95" s="9"/>
      <c r="T95" s="9" t="s">
        <v>11</v>
      </c>
      <c r="U95" s="9" t="s">
        <v>11</v>
      </c>
      <c r="V95" s="9"/>
      <c r="W95" s="9"/>
      <c r="X95" s="9"/>
      <c r="Y95" s="9"/>
      <c r="Z95" s="9"/>
      <c r="AA95" s="9" t="s">
        <v>11</v>
      </c>
      <c r="AB95" s="9" t="s">
        <v>11</v>
      </c>
      <c r="AC95" s="9"/>
      <c r="AD95" s="9"/>
      <c r="AE95" s="9"/>
      <c r="AF95" s="9"/>
      <c r="AG95" s="9"/>
      <c r="AH95" s="9" t="s">
        <v>11</v>
      </c>
      <c r="AI95" s="1"/>
      <c r="AJ95" s="9">
        <f t="shared" si="13"/>
        <v>4</v>
      </c>
      <c r="AK95" s="9">
        <f t="shared" si="14"/>
        <v>0</v>
      </c>
      <c r="AL95" s="9">
        <f t="shared" si="15"/>
        <v>0</v>
      </c>
      <c r="AM95" s="9">
        <f t="shared" si="16"/>
        <v>0</v>
      </c>
      <c r="AN95" s="9">
        <f t="shared" si="17"/>
        <v>0</v>
      </c>
      <c r="AO95" s="9">
        <f t="shared" si="18"/>
        <v>0</v>
      </c>
    </row>
    <row r="96" spans="2:41">
      <c r="B96" s="8" t="s">
        <v>44</v>
      </c>
      <c r="C96" s="8" t="s">
        <v>10</v>
      </c>
      <c r="D96" s="9"/>
      <c r="E96" s="9"/>
      <c r="F96" s="9" t="s">
        <v>11</v>
      </c>
      <c r="G96" s="9" t="s">
        <v>11</v>
      </c>
      <c r="H96" s="9" t="s">
        <v>3</v>
      </c>
      <c r="I96" s="9" t="s">
        <v>3</v>
      </c>
      <c r="J96" s="9" t="s">
        <v>3</v>
      </c>
      <c r="K96" s="9" t="s">
        <v>3</v>
      </c>
      <c r="L96" s="9"/>
      <c r="M96" s="9" t="s">
        <v>11</v>
      </c>
      <c r="N96" s="9" t="s">
        <v>11</v>
      </c>
      <c r="O96" s="9"/>
      <c r="P96" s="9"/>
      <c r="Q96" s="9"/>
      <c r="R96" s="9"/>
      <c r="S96" s="9"/>
      <c r="T96" s="9" t="s">
        <v>11</v>
      </c>
      <c r="U96" s="9" t="s">
        <v>11</v>
      </c>
      <c r="V96" s="9"/>
      <c r="W96" s="9"/>
      <c r="X96" s="9"/>
      <c r="Y96" s="9"/>
      <c r="Z96" s="9"/>
      <c r="AA96" s="9" t="s">
        <v>11</v>
      </c>
      <c r="AB96" s="9" t="s">
        <v>11</v>
      </c>
      <c r="AC96" s="9"/>
      <c r="AD96" s="9"/>
      <c r="AE96" s="9"/>
      <c r="AF96" s="9"/>
      <c r="AG96" s="9"/>
      <c r="AH96" s="9" t="s">
        <v>11</v>
      </c>
      <c r="AI96" s="1"/>
      <c r="AJ96" s="9">
        <f t="shared" si="13"/>
        <v>4</v>
      </c>
      <c r="AK96" s="9">
        <f t="shared" si="14"/>
        <v>0</v>
      </c>
      <c r="AL96" s="9">
        <f t="shared" si="15"/>
        <v>0</v>
      </c>
      <c r="AM96" s="9">
        <f t="shared" si="16"/>
        <v>0</v>
      </c>
      <c r="AN96" s="9">
        <f t="shared" si="17"/>
        <v>0</v>
      </c>
      <c r="AO96" s="9">
        <f t="shared" si="18"/>
        <v>0</v>
      </c>
    </row>
    <row r="97" spans="2:41">
      <c r="B97" s="8" t="s">
        <v>45</v>
      </c>
      <c r="C97" s="8" t="s">
        <v>15</v>
      </c>
      <c r="D97" s="9"/>
      <c r="E97" s="9"/>
      <c r="F97" s="9" t="s">
        <v>11</v>
      </c>
      <c r="G97" s="9" t="s">
        <v>11</v>
      </c>
      <c r="H97" s="9" t="s">
        <v>3</v>
      </c>
      <c r="I97" s="9" t="s">
        <v>3</v>
      </c>
      <c r="J97" s="9" t="s">
        <v>3</v>
      </c>
      <c r="K97" s="9" t="s">
        <v>3</v>
      </c>
      <c r="L97" s="9"/>
      <c r="M97" s="9" t="s">
        <v>11</v>
      </c>
      <c r="N97" s="9" t="s">
        <v>11</v>
      </c>
      <c r="O97" s="9"/>
      <c r="P97" s="9"/>
      <c r="Q97" s="9"/>
      <c r="R97" s="9"/>
      <c r="S97" s="9"/>
      <c r="T97" s="9" t="s">
        <v>11</v>
      </c>
      <c r="U97" s="9" t="s">
        <v>11</v>
      </c>
      <c r="V97" s="9"/>
      <c r="W97" s="9"/>
      <c r="X97" s="9"/>
      <c r="Y97" s="9"/>
      <c r="Z97" s="9"/>
      <c r="AA97" s="9" t="s">
        <v>11</v>
      </c>
      <c r="AB97" s="9" t="s">
        <v>11</v>
      </c>
      <c r="AC97" s="9"/>
      <c r="AD97" s="9"/>
      <c r="AE97" s="9"/>
      <c r="AF97" s="9"/>
      <c r="AG97" s="9"/>
      <c r="AH97" s="9" t="s">
        <v>11</v>
      </c>
      <c r="AI97" s="1"/>
      <c r="AJ97" s="9">
        <f t="shared" si="13"/>
        <v>4</v>
      </c>
      <c r="AK97" s="9">
        <f t="shared" si="14"/>
        <v>0</v>
      </c>
      <c r="AL97" s="9">
        <f t="shared" si="15"/>
        <v>0</v>
      </c>
      <c r="AM97" s="9">
        <f t="shared" si="16"/>
        <v>0</v>
      </c>
      <c r="AN97" s="9">
        <f t="shared" si="17"/>
        <v>0</v>
      </c>
      <c r="AO97" s="9">
        <f t="shared" si="18"/>
        <v>0</v>
      </c>
    </row>
    <row r="98" spans="2:41">
      <c r="B98" s="8" t="s">
        <v>46</v>
      </c>
      <c r="C98" s="8" t="s">
        <v>47</v>
      </c>
      <c r="D98" s="9"/>
      <c r="E98" s="9"/>
      <c r="F98" s="9" t="s">
        <v>11</v>
      </c>
      <c r="G98" s="9" t="s">
        <v>11</v>
      </c>
      <c r="H98" s="9" t="s">
        <v>3</v>
      </c>
      <c r="I98" s="9" t="s">
        <v>3</v>
      </c>
      <c r="J98" s="9" t="s">
        <v>3</v>
      </c>
      <c r="K98" s="9" t="s">
        <v>3</v>
      </c>
      <c r="L98" s="9"/>
      <c r="M98" s="9" t="s">
        <v>11</v>
      </c>
      <c r="N98" s="9" t="s">
        <v>11</v>
      </c>
      <c r="O98" s="9"/>
      <c r="P98" s="9"/>
      <c r="Q98" s="9"/>
      <c r="R98" s="9"/>
      <c r="S98" s="9"/>
      <c r="T98" s="9" t="s">
        <v>11</v>
      </c>
      <c r="U98" s="9" t="s">
        <v>11</v>
      </c>
      <c r="V98" s="9"/>
      <c r="W98" s="9"/>
      <c r="X98" s="9"/>
      <c r="Y98" s="9"/>
      <c r="Z98" s="9"/>
      <c r="AA98" s="9" t="s">
        <v>11</v>
      </c>
      <c r="AB98" s="9" t="s">
        <v>11</v>
      </c>
      <c r="AC98" s="9"/>
      <c r="AD98" s="9"/>
      <c r="AE98" s="9"/>
      <c r="AF98" s="9"/>
      <c r="AG98" s="9"/>
      <c r="AH98" s="9" t="s">
        <v>11</v>
      </c>
      <c r="AI98" s="1"/>
      <c r="AJ98" s="9">
        <f t="shared" si="13"/>
        <v>4</v>
      </c>
      <c r="AK98" s="9">
        <f t="shared" si="14"/>
        <v>0</v>
      </c>
      <c r="AL98" s="9">
        <f t="shared" si="15"/>
        <v>0</v>
      </c>
      <c r="AM98" s="9">
        <f t="shared" si="16"/>
        <v>0</v>
      </c>
      <c r="AN98" s="9">
        <f t="shared" si="17"/>
        <v>0</v>
      </c>
      <c r="AO98" s="9">
        <f t="shared" si="18"/>
        <v>0</v>
      </c>
    </row>
    <row r="99" spans="2:41">
      <c r="B99" s="8" t="s">
        <v>48</v>
      </c>
      <c r="C99" s="8" t="s">
        <v>17</v>
      </c>
      <c r="D99" s="9"/>
      <c r="E99" s="9"/>
      <c r="F99" s="9" t="s">
        <v>11</v>
      </c>
      <c r="G99" s="9" t="s">
        <v>11</v>
      </c>
      <c r="H99" s="9" t="s">
        <v>3</v>
      </c>
      <c r="I99" s="9" t="s">
        <v>3</v>
      </c>
      <c r="J99" s="9" t="s">
        <v>3</v>
      </c>
      <c r="K99" s="9" t="s">
        <v>3</v>
      </c>
      <c r="L99" s="9"/>
      <c r="M99" s="9" t="s">
        <v>11</v>
      </c>
      <c r="N99" s="9" t="s">
        <v>11</v>
      </c>
      <c r="O99" s="9"/>
      <c r="P99" s="9"/>
      <c r="Q99" s="9"/>
      <c r="R99" s="9"/>
      <c r="S99" s="9"/>
      <c r="T99" s="9" t="s">
        <v>11</v>
      </c>
      <c r="U99" s="9" t="s">
        <v>11</v>
      </c>
      <c r="V99" s="9"/>
      <c r="W99" s="9"/>
      <c r="X99" s="9"/>
      <c r="Y99" s="9"/>
      <c r="Z99" s="9"/>
      <c r="AA99" s="9" t="s">
        <v>11</v>
      </c>
      <c r="AB99" s="9" t="s">
        <v>11</v>
      </c>
      <c r="AC99" s="9"/>
      <c r="AD99" s="9"/>
      <c r="AE99" s="9"/>
      <c r="AF99" s="9"/>
      <c r="AG99" s="9"/>
      <c r="AH99" s="9" t="s">
        <v>11</v>
      </c>
      <c r="AI99" s="1"/>
      <c r="AJ99" s="9">
        <f t="shared" si="13"/>
        <v>4</v>
      </c>
      <c r="AK99" s="9">
        <f t="shared" si="14"/>
        <v>0</v>
      </c>
      <c r="AL99" s="9">
        <f t="shared" si="15"/>
        <v>0</v>
      </c>
      <c r="AM99" s="9">
        <f t="shared" si="16"/>
        <v>0</v>
      </c>
      <c r="AN99" s="9">
        <f t="shared" si="17"/>
        <v>0</v>
      </c>
      <c r="AO99" s="9">
        <f t="shared" si="18"/>
        <v>0</v>
      </c>
    </row>
    <row r="100" spans="2:41">
      <c r="B100" s="8" t="s">
        <v>49</v>
      </c>
      <c r="C100" s="8" t="s">
        <v>10</v>
      </c>
      <c r="D100" s="9"/>
      <c r="E100" s="9"/>
      <c r="F100" s="9" t="s">
        <v>11</v>
      </c>
      <c r="G100" s="9" t="s">
        <v>11</v>
      </c>
      <c r="H100" s="9" t="s">
        <v>3</v>
      </c>
      <c r="I100" s="9" t="s">
        <v>3</v>
      </c>
      <c r="J100" s="9" t="s">
        <v>3</v>
      </c>
      <c r="K100" s="9" t="s">
        <v>3</v>
      </c>
      <c r="L100" s="9"/>
      <c r="M100" s="9" t="s">
        <v>11</v>
      </c>
      <c r="N100" s="9" t="s">
        <v>11</v>
      </c>
      <c r="O100" s="9"/>
      <c r="P100" s="9"/>
      <c r="Q100" s="9"/>
      <c r="R100" s="9"/>
      <c r="S100" s="9"/>
      <c r="T100" s="9" t="s">
        <v>11</v>
      </c>
      <c r="U100" s="9" t="s">
        <v>11</v>
      </c>
      <c r="V100" s="9"/>
      <c r="W100" s="9"/>
      <c r="X100" s="9"/>
      <c r="Y100" s="9"/>
      <c r="Z100" s="9"/>
      <c r="AA100" s="9" t="s">
        <v>11</v>
      </c>
      <c r="AB100" s="9" t="s">
        <v>11</v>
      </c>
      <c r="AC100" s="9"/>
      <c r="AD100" s="9"/>
      <c r="AE100" s="9"/>
      <c r="AF100" s="9"/>
      <c r="AG100" s="9"/>
      <c r="AH100" s="9" t="s">
        <v>11</v>
      </c>
      <c r="AI100" s="1"/>
      <c r="AJ100" s="9">
        <f t="shared" si="13"/>
        <v>4</v>
      </c>
      <c r="AK100" s="9">
        <f t="shared" si="14"/>
        <v>0</v>
      </c>
      <c r="AL100" s="9">
        <f t="shared" si="15"/>
        <v>0</v>
      </c>
      <c r="AM100" s="9">
        <f t="shared" si="16"/>
        <v>0</v>
      </c>
      <c r="AN100" s="9">
        <f t="shared" si="17"/>
        <v>0</v>
      </c>
      <c r="AO100" s="9">
        <f t="shared" si="18"/>
        <v>0</v>
      </c>
    </row>
    <row r="101" spans="2:41">
      <c r="B101" s="8" t="s">
        <v>50</v>
      </c>
      <c r="C101" s="8" t="s">
        <v>15</v>
      </c>
      <c r="D101" s="9"/>
      <c r="E101" s="9"/>
      <c r="F101" s="9" t="s">
        <v>11</v>
      </c>
      <c r="G101" s="9" t="s">
        <v>11</v>
      </c>
      <c r="H101" s="9" t="s">
        <v>3</v>
      </c>
      <c r="I101" s="9" t="s">
        <v>3</v>
      </c>
      <c r="J101" s="9" t="s">
        <v>3</v>
      </c>
      <c r="K101" s="9" t="s">
        <v>3</v>
      </c>
      <c r="L101" s="9"/>
      <c r="M101" s="9" t="s">
        <v>11</v>
      </c>
      <c r="N101" s="9" t="s">
        <v>11</v>
      </c>
      <c r="O101" s="9"/>
      <c r="P101" s="9"/>
      <c r="Q101" s="9"/>
      <c r="R101" s="9"/>
      <c r="S101" s="9"/>
      <c r="T101" s="9" t="s">
        <v>11</v>
      </c>
      <c r="U101" s="9" t="s">
        <v>11</v>
      </c>
      <c r="V101" s="9"/>
      <c r="W101" s="9"/>
      <c r="X101" s="9"/>
      <c r="Y101" s="9"/>
      <c r="Z101" s="9"/>
      <c r="AA101" s="9" t="s">
        <v>11</v>
      </c>
      <c r="AB101" s="9" t="s">
        <v>11</v>
      </c>
      <c r="AC101" s="9"/>
      <c r="AD101" s="9"/>
      <c r="AE101" s="9"/>
      <c r="AF101" s="9"/>
      <c r="AG101" s="9"/>
      <c r="AH101" s="9" t="s">
        <v>11</v>
      </c>
      <c r="AI101" s="1"/>
      <c r="AJ101" s="9">
        <f t="shared" si="13"/>
        <v>4</v>
      </c>
      <c r="AK101" s="9">
        <f t="shared" si="14"/>
        <v>0</v>
      </c>
      <c r="AL101" s="9">
        <f t="shared" si="15"/>
        <v>0</v>
      </c>
      <c r="AM101" s="9">
        <f t="shared" si="16"/>
        <v>0</v>
      </c>
      <c r="AN101" s="9">
        <f t="shared" si="17"/>
        <v>0</v>
      </c>
      <c r="AO101" s="9">
        <f t="shared" si="18"/>
        <v>0</v>
      </c>
    </row>
    <row r="102" spans="2:41">
      <c r="B102" s="8" t="s">
        <v>51</v>
      </c>
      <c r="C102" s="8" t="s">
        <v>13</v>
      </c>
      <c r="D102" s="9"/>
      <c r="E102" s="9"/>
      <c r="F102" s="9" t="s">
        <v>11</v>
      </c>
      <c r="G102" s="9" t="s">
        <v>11</v>
      </c>
      <c r="H102" s="9" t="s">
        <v>3</v>
      </c>
      <c r="I102" s="9" t="s">
        <v>3</v>
      </c>
      <c r="J102" s="9" t="s">
        <v>3</v>
      </c>
      <c r="K102" s="9" t="s">
        <v>3</v>
      </c>
      <c r="L102" s="9"/>
      <c r="M102" s="9" t="s">
        <v>11</v>
      </c>
      <c r="N102" s="9" t="s">
        <v>11</v>
      </c>
      <c r="O102" s="9"/>
      <c r="P102" s="9"/>
      <c r="Q102" s="9"/>
      <c r="R102" s="9"/>
      <c r="S102" s="9"/>
      <c r="T102" s="9" t="s">
        <v>11</v>
      </c>
      <c r="U102" s="9" t="s">
        <v>11</v>
      </c>
      <c r="V102" s="9"/>
      <c r="W102" s="9"/>
      <c r="X102" s="9"/>
      <c r="Y102" s="9"/>
      <c r="Z102" s="9"/>
      <c r="AA102" s="9" t="s">
        <v>11</v>
      </c>
      <c r="AB102" s="9" t="s">
        <v>11</v>
      </c>
      <c r="AC102" s="9"/>
      <c r="AD102" s="9"/>
      <c r="AE102" s="9"/>
      <c r="AF102" s="9"/>
      <c r="AG102" s="9"/>
      <c r="AH102" s="9" t="s">
        <v>11</v>
      </c>
      <c r="AI102" s="1"/>
      <c r="AJ102" s="9">
        <f t="shared" si="13"/>
        <v>4</v>
      </c>
      <c r="AK102" s="9">
        <f t="shared" si="14"/>
        <v>0</v>
      </c>
      <c r="AL102" s="9">
        <f t="shared" si="15"/>
        <v>0</v>
      </c>
      <c r="AM102" s="9">
        <f t="shared" si="16"/>
        <v>0</v>
      </c>
      <c r="AN102" s="9">
        <f t="shared" si="17"/>
        <v>0</v>
      </c>
      <c r="AO102" s="9">
        <f t="shared" si="18"/>
        <v>0</v>
      </c>
    </row>
    <row r="103" spans="2:41">
      <c r="B103" s="8" t="s">
        <v>52</v>
      </c>
      <c r="C103" s="8" t="s">
        <v>13</v>
      </c>
      <c r="D103" s="9"/>
      <c r="E103" s="9"/>
      <c r="F103" s="9" t="s">
        <v>11</v>
      </c>
      <c r="G103" s="9" t="s">
        <v>11</v>
      </c>
      <c r="H103" s="9" t="s">
        <v>3</v>
      </c>
      <c r="I103" s="9" t="s">
        <v>3</v>
      </c>
      <c r="J103" s="9" t="s">
        <v>3</v>
      </c>
      <c r="K103" s="9" t="s">
        <v>3</v>
      </c>
      <c r="L103" s="9"/>
      <c r="M103" s="9" t="s">
        <v>11</v>
      </c>
      <c r="N103" s="9" t="s">
        <v>11</v>
      </c>
      <c r="O103" s="9"/>
      <c r="P103" s="9"/>
      <c r="Q103" s="9"/>
      <c r="R103" s="9"/>
      <c r="S103" s="9"/>
      <c r="T103" s="9" t="s">
        <v>11</v>
      </c>
      <c r="U103" s="9" t="s">
        <v>11</v>
      </c>
      <c r="V103" s="9"/>
      <c r="W103" s="9"/>
      <c r="X103" s="9"/>
      <c r="Y103" s="9"/>
      <c r="Z103" s="9"/>
      <c r="AA103" s="9" t="s">
        <v>11</v>
      </c>
      <c r="AB103" s="9" t="s">
        <v>11</v>
      </c>
      <c r="AC103" s="9"/>
      <c r="AD103" s="9"/>
      <c r="AE103" s="9"/>
      <c r="AF103" s="9"/>
      <c r="AG103" s="9"/>
      <c r="AH103" s="9" t="s">
        <v>11</v>
      </c>
      <c r="AI103" s="1"/>
      <c r="AJ103" s="9">
        <f t="shared" si="13"/>
        <v>4</v>
      </c>
      <c r="AK103" s="9">
        <f t="shared" si="14"/>
        <v>0</v>
      </c>
      <c r="AL103" s="9">
        <f t="shared" si="15"/>
        <v>0</v>
      </c>
      <c r="AM103" s="9">
        <f t="shared" si="16"/>
        <v>0</v>
      </c>
      <c r="AN103" s="9">
        <f t="shared" si="17"/>
        <v>0</v>
      </c>
      <c r="AO103" s="9">
        <f t="shared" si="18"/>
        <v>0</v>
      </c>
    </row>
    <row r="104" spans="2:41">
      <c r="B104" s="8" t="s">
        <v>54</v>
      </c>
      <c r="C104" s="8" t="s">
        <v>10</v>
      </c>
      <c r="D104" s="9"/>
      <c r="E104" s="9"/>
      <c r="F104" s="9" t="s">
        <v>11</v>
      </c>
      <c r="G104" s="9" t="s">
        <v>11</v>
      </c>
      <c r="H104" s="9" t="s">
        <v>3</v>
      </c>
      <c r="I104" s="9" t="s">
        <v>3</v>
      </c>
      <c r="J104" s="9" t="s">
        <v>3</v>
      </c>
      <c r="K104" s="9" t="s">
        <v>3</v>
      </c>
      <c r="L104" s="9"/>
      <c r="M104" s="9" t="s">
        <v>11</v>
      </c>
      <c r="N104" s="9" t="s">
        <v>11</v>
      </c>
      <c r="O104" s="9"/>
      <c r="P104" s="9"/>
      <c r="Q104" s="9"/>
      <c r="R104" s="9"/>
      <c r="S104" s="9"/>
      <c r="T104" s="9" t="s">
        <v>11</v>
      </c>
      <c r="U104" s="9" t="s">
        <v>11</v>
      </c>
      <c r="V104" s="9"/>
      <c r="W104" s="9"/>
      <c r="X104" s="9"/>
      <c r="Y104" s="9"/>
      <c r="Z104" s="9"/>
      <c r="AA104" s="9" t="s">
        <v>11</v>
      </c>
      <c r="AB104" s="9" t="s">
        <v>11</v>
      </c>
      <c r="AC104" s="9"/>
      <c r="AD104" s="9"/>
      <c r="AE104" s="9"/>
      <c r="AF104" s="9"/>
      <c r="AG104" s="9"/>
      <c r="AH104" s="9" t="s">
        <v>11</v>
      </c>
      <c r="AI104" s="1"/>
      <c r="AJ104" s="9">
        <f t="shared" si="13"/>
        <v>4</v>
      </c>
      <c r="AK104" s="9">
        <f t="shared" si="14"/>
        <v>0</v>
      </c>
      <c r="AL104" s="9">
        <f t="shared" si="15"/>
        <v>0</v>
      </c>
      <c r="AM104" s="9">
        <f t="shared" si="16"/>
        <v>0</v>
      </c>
      <c r="AN104" s="9">
        <f t="shared" si="17"/>
        <v>0</v>
      </c>
      <c r="AO104" s="9">
        <f t="shared" si="18"/>
        <v>0</v>
      </c>
    </row>
    <row r="105" spans="2:41">
      <c r="B105" s="8" t="s">
        <v>55</v>
      </c>
      <c r="C105" s="8" t="s">
        <v>17</v>
      </c>
      <c r="D105" s="9"/>
      <c r="E105" s="9"/>
      <c r="F105" s="9" t="s">
        <v>11</v>
      </c>
      <c r="G105" s="9" t="s">
        <v>11</v>
      </c>
      <c r="H105" s="9" t="s">
        <v>3</v>
      </c>
      <c r="I105" s="9" t="s">
        <v>3</v>
      </c>
      <c r="J105" s="9" t="s">
        <v>3</v>
      </c>
      <c r="K105" s="9" t="s">
        <v>3</v>
      </c>
      <c r="L105" s="9"/>
      <c r="M105" s="9" t="s">
        <v>11</v>
      </c>
      <c r="N105" s="9" t="s">
        <v>11</v>
      </c>
      <c r="O105" s="9"/>
      <c r="P105" s="9"/>
      <c r="Q105" s="9"/>
      <c r="R105" s="9"/>
      <c r="S105" s="9"/>
      <c r="T105" s="9" t="s">
        <v>11</v>
      </c>
      <c r="U105" s="9" t="s">
        <v>11</v>
      </c>
      <c r="V105" s="9"/>
      <c r="W105" s="9"/>
      <c r="X105" s="9"/>
      <c r="Y105" s="9"/>
      <c r="Z105" s="9"/>
      <c r="AA105" s="9" t="s">
        <v>11</v>
      </c>
      <c r="AB105" s="9" t="s">
        <v>11</v>
      </c>
      <c r="AC105" s="9"/>
      <c r="AD105" s="9"/>
      <c r="AE105" s="9"/>
      <c r="AF105" s="9"/>
      <c r="AG105" s="9"/>
      <c r="AH105" s="9" t="s">
        <v>11</v>
      </c>
      <c r="AI105" s="1"/>
      <c r="AJ105" s="9">
        <f t="shared" si="13"/>
        <v>4</v>
      </c>
      <c r="AK105" s="9">
        <f t="shared" si="14"/>
        <v>0</v>
      </c>
      <c r="AL105" s="9">
        <f t="shared" si="15"/>
        <v>0</v>
      </c>
      <c r="AM105" s="9">
        <f t="shared" si="16"/>
        <v>0</v>
      </c>
      <c r="AN105" s="9">
        <f t="shared" si="17"/>
        <v>0</v>
      </c>
      <c r="AO105" s="9">
        <f t="shared" si="18"/>
        <v>0</v>
      </c>
    </row>
    <row r="106" spans="2:41">
      <c r="B106" s="8" t="s">
        <v>56</v>
      </c>
      <c r="C106" s="8" t="s">
        <v>10</v>
      </c>
      <c r="D106" s="9" t="s">
        <v>4</v>
      </c>
      <c r="E106" s="9" t="s">
        <v>4</v>
      </c>
      <c r="F106" s="9" t="s">
        <v>4</v>
      </c>
      <c r="G106" s="9" t="s">
        <v>4</v>
      </c>
      <c r="H106" s="9" t="s">
        <v>3</v>
      </c>
      <c r="I106" s="9" t="s">
        <v>3</v>
      </c>
      <c r="J106" s="9" t="s">
        <v>3</v>
      </c>
      <c r="K106" s="9" t="s">
        <v>3</v>
      </c>
      <c r="L106" s="9"/>
      <c r="M106" s="9" t="s">
        <v>11</v>
      </c>
      <c r="N106" s="9" t="s">
        <v>11</v>
      </c>
      <c r="O106" s="9"/>
      <c r="P106" s="9"/>
      <c r="Q106" s="9"/>
      <c r="R106" s="9"/>
      <c r="S106" s="9"/>
      <c r="T106" s="9" t="s">
        <v>11</v>
      </c>
      <c r="U106" s="9" t="s">
        <v>11</v>
      </c>
      <c r="V106" s="9"/>
      <c r="W106" s="9"/>
      <c r="X106" s="9"/>
      <c r="Y106" s="9"/>
      <c r="Z106" s="9"/>
      <c r="AA106" s="9" t="s">
        <v>11</v>
      </c>
      <c r="AB106" s="9" t="s">
        <v>11</v>
      </c>
      <c r="AC106" s="9"/>
      <c r="AD106" s="9"/>
      <c r="AE106" s="9"/>
      <c r="AF106" s="9"/>
      <c r="AG106" s="9"/>
      <c r="AH106" s="9" t="s">
        <v>11</v>
      </c>
      <c r="AI106" s="1"/>
      <c r="AJ106" s="9">
        <f t="shared" si="13"/>
        <v>4</v>
      </c>
      <c r="AK106" s="9">
        <f t="shared" si="14"/>
        <v>4</v>
      </c>
      <c r="AL106" s="9">
        <f t="shared" si="15"/>
        <v>0</v>
      </c>
      <c r="AM106" s="9">
        <f t="shared" si="16"/>
        <v>0</v>
      </c>
      <c r="AN106" s="9">
        <f t="shared" si="17"/>
        <v>0</v>
      </c>
      <c r="AO106" s="9">
        <f t="shared" si="18"/>
        <v>0</v>
      </c>
    </row>
    <row r="107" spans="2:41">
      <c r="B107" s="8" t="s">
        <v>57</v>
      </c>
      <c r="C107" s="8" t="s">
        <v>10</v>
      </c>
      <c r="D107" s="9" t="s">
        <v>4</v>
      </c>
      <c r="E107" s="9" t="s">
        <v>4</v>
      </c>
      <c r="F107" s="9" t="s">
        <v>4</v>
      </c>
      <c r="G107" s="9" t="s">
        <v>4</v>
      </c>
      <c r="H107" s="9" t="s">
        <v>3</v>
      </c>
      <c r="I107" s="9" t="s">
        <v>7</v>
      </c>
      <c r="J107" s="9" t="s">
        <v>3</v>
      </c>
      <c r="K107" s="9" t="s">
        <v>3</v>
      </c>
      <c r="L107" s="9"/>
      <c r="M107" s="9" t="s">
        <v>11</v>
      </c>
      <c r="N107" s="9" t="s">
        <v>11</v>
      </c>
      <c r="O107" s="9"/>
      <c r="P107" s="9"/>
      <c r="Q107" s="9"/>
      <c r="R107" s="9"/>
      <c r="S107" s="9"/>
      <c r="T107" s="9" t="s">
        <v>11</v>
      </c>
      <c r="U107" s="9" t="s">
        <v>11</v>
      </c>
      <c r="V107" s="9"/>
      <c r="W107" s="9"/>
      <c r="X107" s="9"/>
      <c r="Y107" s="9"/>
      <c r="Z107" s="9"/>
      <c r="AA107" s="9" t="s">
        <v>11</v>
      </c>
      <c r="AB107" s="9" t="s">
        <v>11</v>
      </c>
      <c r="AC107" s="9"/>
      <c r="AD107" s="9"/>
      <c r="AE107" s="9"/>
      <c r="AF107" s="9"/>
      <c r="AG107" s="9"/>
      <c r="AH107" s="9" t="s">
        <v>11</v>
      </c>
      <c r="AI107" s="1"/>
      <c r="AJ107" s="9">
        <f t="shared" si="13"/>
        <v>3</v>
      </c>
      <c r="AK107" s="9">
        <f t="shared" si="14"/>
        <v>4</v>
      </c>
      <c r="AL107" s="9">
        <f t="shared" si="15"/>
        <v>0</v>
      </c>
      <c r="AM107" s="9">
        <f t="shared" si="16"/>
        <v>0</v>
      </c>
      <c r="AN107" s="9">
        <f t="shared" si="17"/>
        <v>1</v>
      </c>
      <c r="AO107" s="9">
        <f t="shared" si="18"/>
        <v>0</v>
      </c>
    </row>
    <row r="108" spans="2:41">
      <c r="B108" s="8" t="s">
        <v>58</v>
      </c>
      <c r="C108" s="8" t="s">
        <v>17</v>
      </c>
      <c r="D108" s="9" t="s">
        <v>4</v>
      </c>
      <c r="E108" s="9" t="s">
        <v>4</v>
      </c>
      <c r="F108" s="9" t="s">
        <v>4</v>
      </c>
      <c r="G108" s="9" t="s">
        <v>4</v>
      </c>
      <c r="H108" s="9" t="s">
        <v>4</v>
      </c>
      <c r="I108" s="9" t="s">
        <v>4</v>
      </c>
      <c r="J108" s="9" t="s">
        <v>4</v>
      </c>
      <c r="K108" s="9" t="s">
        <v>4</v>
      </c>
      <c r="L108" s="9" t="s">
        <v>4</v>
      </c>
      <c r="M108" s="9" t="s">
        <v>4</v>
      </c>
      <c r="N108" s="9" t="s">
        <v>4</v>
      </c>
      <c r="O108" s="9" t="s">
        <v>4</v>
      </c>
      <c r="P108" s="9" t="s">
        <v>4</v>
      </c>
      <c r="Q108" s="9" t="s">
        <v>4</v>
      </c>
      <c r="R108" s="9" t="s">
        <v>4</v>
      </c>
      <c r="S108" s="9" t="s">
        <v>4</v>
      </c>
      <c r="T108" s="9" t="s">
        <v>4</v>
      </c>
      <c r="U108" s="9" t="s">
        <v>4</v>
      </c>
      <c r="V108" s="9" t="s">
        <v>4</v>
      </c>
      <c r="W108" s="9" t="s">
        <v>4</v>
      </c>
      <c r="X108" s="9" t="s">
        <v>4</v>
      </c>
      <c r="Y108" s="9" t="s">
        <v>4</v>
      </c>
      <c r="Z108" s="9" t="s">
        <v>4</v>
      </c>
      <c r="AA108" s="9" t="s">
        <v>4</v>
      </c>
      <c r="AB108" s="9" t="s">
        <v>4</v>
      </c>
      <c r="AC108" s="9" t="s">
        <v>4</v>
      </c>
      <c r="AD108" s="9" t="s">
        <v>4</v>
      </c>
      <c r="AE108" s="9"/>
      <c r="AF108" s="9"/>
      <c r="AG108" s="9"/>
      <c r="AH108" s="9" t="s">
        <v>11</v>
      </c>
      <c r="AI108" s="1"/>
      <c r="AJ108" s="9">
        <f t="shared" si="13"/>
        <v>0</v>
      </c>
      <c r="AK108" s="9">
        <f t="shared" si="14"/>
        <v>27</v>
      </c>
      <c r="AL108" s="9">
        <f t="shared" si="15"/>
        <v>0</v>
      </c>
      <c r="AM108" s="9">
        <f t="shared" si="16"/>
        <v>0</v>
      </c>
      <c r="AN108" s="9">
        <f t="shared" si="17"/>
        <v>0</v>
      </c>
      <c r="AO108" s="9">
        <f t="shared" si="18"/>
        <v>0</v>
      </c>
    </row>
    <row r="109" spans="2:41">
      <c r="B109" s="8" t="s">
        <v>59</v>
      </c>
      <c r="C109" s="8" t="s">
        <v>10</v>
      </c>
      <c r="D109" s="9"/>
      <c r="E109" s="9"/>
      <c r="F109" s="9" t="s">
        <v>11</v>
      </c>
      <c r="G109" s="9" t="s">
        <v>11</v>
      </c>
      <c r="H109" s="9" t="s">
        <v>3</v>
      </c>
      <c r="I109" s="9" t="s">
        <v>3</v>
      </c>
      <c r="J109" s="9" t="s">
        <v>3</v>
      </c>
      <c r="K109" s="9" t="s">
        <v>3</v>
      </c>
      <c r="L109" s="9"/>
      <c r="M109" s="9" t="s">
        <v>11</v>
      </c>
      <c r="N109" s="9" t="s">
        <v>11</v>
      </c>
      <c r="O109" s="9"/>
      <c r="P109" s="9"/>
      <c r="Q109" s="9"/>
      <c r="R109" s="9"/>
      <c r="S109" s="9"/>
      <c r="T109" s="9" t="s">
        <v>11</v>
      </c>
      <c r="U109" s="9" t="s">
        <v>11</v>
      </c>
      <c r="V109" s="9"/>
      <c r="W109" s="9"/>
      <c r="X109" s="9"/>
      <c r="Y109" s="9"/>
      <c r="Z109" s="9"/>
      <c r="AA109" s="9" t="s">
        <v>11</v>
      </c>
      <c r="AB109" s="9" t="s">
        <v>11</v>
      </c>
      <c r="AC109" s="9"/>
      <c r="AD109" s="9"/>
      <c r="AE109" s="9"/>
      <c r="AF109" s="9"/>
      <c r="AG109" s="9"/>
      <c r="AH109" s="9" t="s">
        <v>11</v>
      </c>
      <c r="AI109" s="1"/>
      <c r="AJ109" s="9">
        <f t="shared" si="13"/>
        <v>4</v>
      </c>
      <c r="AK109" s="9">
        <f t="shared" si="14"/>
        <v>0</v>
      </c>
      <c r="AL109" s="9">
        <f t="shared" si="15"/>
        <v>0</v>
      </c>
      <c r="AM109" s="9">
        <f t="shared" si="16"/>
        <v>0</v>
      </c>
      <c r="AN109" s="9">
        <f t="shared" si="17"/>
        <v>0</v>
      </c>
      <c r="AO109" s="9">
        <f t="shared" si="18"/>
        <v>0</v>
      </c>
    </row>
    <row r="110" spans="2:41">
      <c r="B110" s="8" t="s">
        <v>60</v>
      </c>
      <c r="C110" s="8" t="s">
        <v>17</v>
      </c>
      <c r="D110" s="9"/>
      <c r="E110" s="9"/>
      <c r="F110" s="9" t="s">
        <v>11</v>
      </c>
      <c r="G110" s="9" t="s">
        <v>11</v>
      </c>
      <c r="H110" s="9" t="s">
        <v>3</v>
      </c>
      <c r="I110" s="9" t="s">
        <v>3</v>
      </c>
      <c r="J110" s="9" t="s">
        <v>3</v>
      </c>
      <c r="K110" s="9" t="s">
        <v>3</v>
      </c>
      <c r="L110" s="9"/>
      <c r="M110" s="9" t="s">
        <v>11</v>
      </c>
      <c r="N110" s="9" t="s">
        <v>11</v>
      </c>
      <c r="O110" s="9"/>
      <c r="P110" s="9"/>
      <c r="Q110" s="9"/>
      <c r="R110" s="9"/>
      <c r="S110" s="9"/>
      <c r="T110" s="9" t="s">
        <v>11</v>
      </c>
      <c r="U110" s="9" t="s">
        <v>11</v>
      </c>
      <c r="V110" s="9"/>
      <c r="W110" s="9"/>
      <c r="X110" s="9"/>
      <c r="Y110" s="9"/>
      <c r="Z110" s="9"/>
      <c r="AA110" s="9" t="s">
        <v>11</v>
      </c>
      <c r="AB110" s="9" t="s">
        <v>11</v>
      </c>
      <c r="AC110" s="9"/>
      <c r="AD110" s="9"/>
      <c r="AE110" s="9"/>
      <c r="AF110" s="9"/>
      <c r="AG110" s="9"/>
      <c r="AH110" s="9" t="s">
        <v>11</v>
      </c>
      <c r="AI110" s="1"/>
      <c r="AJ110" s="9">
        <f t="shared" si="13"/>
        <v>4</v>
      </c>
      <c r="AK110" s="9">
        <f t="shared" si="14"/>
        <v>0</v>
      </c>
      <c r="AL110" s="9">
        <f t="shared" si="15"/>
        <v>0</v>
      </c>
      <c r="AM110" s="9">
        <f t="shared" si="16"/>
        <v>0</v>
      </c>
      <c r="AN110" s="9">
        <f t="shared" si="17"/>
        <v>0</v>
      </c>
      <c r="AO110" s="9">
        <f t="shared" si="18"/>
        <v>0</v>
      </c>
    </row>
    <row r="111" spans="2:41">
      <c r="B111" s="8" t="s">
        <v>61</v>
      </c>
      <c r="C111" s="8" t="s">
        <v>15</v>
      </c>
      <c r="D111" s="9"/>
      <c r="E111" s="9"/>
      <c r="F111" s="9" t="s">
        <v>11</v>
      </c>
      <c r="G111" s="9" t="s">
        <v>11</v>
      </c>
      <c r="H111" s="9" t="s">
        <v>3</v>
      </c>
      <c r="I111" s="9" t="s">
        <v>3</v>
      </c>
      <c r="J111" s="9" t="s">
        <v>3</v>
      </c>
      <c r="K111" s="9" t="s">
        <v>3</v>
      </c>
      <c r="L111" s="9"/>
      <c r="M111" s="9" t="s">
        <v>11</v>
      </c>
      <c r="N111" s="9" t="s">
        <v>11</v>
      </c>
      <c r="O111" s="9"/>
      <c r="P111" s="9"/>
      <c r="Q111" s="9"/>
      <c r="R111" s="9"/>
      <c r="S111" s="9"/>
      <c r="T111" s="9" t="s">
        <v>11</v>
      </c>
      <c r="U111" s="9" t="s">
        <v>11</v>
      </c>
      <c r="V111" s="9"/>
      <c r="W111" s="9"/>
      <c r="X111" s="9"/>
      <c r="Y111" s="9"/>
      <c r="Z111" s="9"/>
      <c r="AA111" s="9" t="s">
        <v>11</v>
      </c>
      <c r="AB111" s="9" t="s">
        <v>11</v>
      </c>
      <c r="AC111" s="9"/>
      <c r="AD111" s="9"/>
      <c r="AE111" s="9"/>
      <c r="AF111" s="9"/>
      <c r="AG111" s="9"/>
      <c r="AH111" s="9" t="s">
        <v>11</v>
      </c>
      <c r="AI111" s="1"/>
      <c r="AJ111" s="9">
        <f t="shared" si="13"/>
        <v>4</v>
      </c>
      <c r="AK111" s="9">
        <f t="shared" si="14"/>
        <v>0</v>
      </c>
      <c r="AL111" s="9">
        <f t="shared" si="15"/>
        <v>0</v>
      </c>
      <c r="AM111" s="9">
        <f t="shared" si="16"/>
        <v>0</v>
      </c>
      <c r="AN111" s="9">
        <f t="shared" si="17"/>
        <v>0</v>
      </c>
      <c r="AO111" s="9">
        <f t="shared" si="18"/>
        <v>0</v>
      </c>
    </row>
    <row r="112" spans="2:41">
      <c r="B112" s="8" t="s">
        <v>62</v>
      </c>
      <c r="C112" s="8" t="s">
        <v>13</v>
      </c>
      <c r="D112" s="9"/>
      <c r="E112" s="9"/>
      <c r="F112" s="9" t="s">
        <v>11</v>
      </c>
      <c r="G112" s="9" t="s">
        <v>11</v>
      </c>
      <c r="H112" s="9" t="s">
        <v>3</v>
      </c>
      <c r="I112" s="9" t="s">
        <v>3</v>
      </c>
      <c r="J112" s="9" t="s">
        <v>3</v>
      </c>
      <c r="K112" s="9" t="s">
        <v>3</v>
      </c>
      <c r="L112" s="9"/>
      <c r="M112" s="9" t="s">
        <v>11</v>
      </c>
      <c r="N112" s="9" t="s">
        <v>11</v>
      </c>
      <c r="O112" s="9"/>
      <c r="P112" s="9"/>
      <c r="Q112" s="9"/>
      <c r="R112" s="9"/>
      <c r="S112" s="9"/>
      <c r="T112" s="9" t="s">
        <v>11</v>
      </c>
      <c r="U112" s="9" t="s">
        <v>11</v>
      </c>
      <c r="V112" s="9"/>
      <c r="W112" s="9"/>
      <c r="X112" s="9"/>
      <c r="Y112" s="9"/>
      <c r="Z112" s="9"/>
      <c r="AA112" s="9" t="s">
        <v>11</v>
      </c>
      <c r="AB112" s="9" t="s">
        <v>11</v>
      </c>
      <c r="AC112" s="9"/>
      <c r="AD112" s="9"/>
      <c r="AE112" s="9"/>
      <c r="AF112" s="9"/>
      <c r="AG112" s="9"/>
      <c r="AH112" s="9" t="s">
        <v>11</v>
      </c>
      <c r="AI112" s="1"/>
      <c r="AJ112" s="9">
        <f t="shared" si="13"/>
        <v>4</v>
      </c>
      <c r="AK112" s="9">
        <f t="shared" si="14"/>
        <v>0</v>
      </c>
      <c r="AL112" s="9">
        <f t="shared" si="15"/>
        <v>0</v>
      </c>
      <c r="AM112" s="9">
        <f t="shared" si="16"/>
        <v>0</v>
      </c>
      <c r="AN112" s="9">
        <f t="shared" si="17"/>
        <v>0</v>
      </c>
      <c r="AO112" s="9">
        <f t="shared" si="18"/>
        <v>0</v>
      </c>
    </row>
    <row r="113" spans="2:41">
      <c r="B113" s="8" t="s">
        <v>63</v>
      </c>
      <c r="C113" s="8" t="s">
        <v>10</v>
      </c>
      <c r="D113" s="9"/>
      <c r="E113" s="9"/>
      <c r="F113" s="9" t="s">
        <v>11</v>
      </c>
      <c r="G113" s="9" t="s">
        <v>11</v>
      </c>
      <c r="H113" s="9" t="s">
        <v>3</v>
      </c>
      <c r="I113" s="9" t="s">
        <v>3</v>
      </c>
      <c r="J113" s="9" t="s">
        <v>3</v>
      </c>
      <c r="K113" s="9"/>
      <c r="L113" s="9"/>
      <c r="M113" s="9" t="s">
        <v>11</v>
      </c>
      <c r="N113" s="9" t="s">
        <v>11</v>
      </c>
      <c r="O113" s="9"/>
      <c r="P113" s="9"/>
      <c r="Q113" s="9"/>
      <c r="R113" s="9"/>
      <c r="S113" s="9"/>
      <c r="T113" s="9" t="s">
        <v>11</v>
      </c>
      <c r="U113" s="9" t="s">
        <v>11</v>
      </c>
      <c r="V113" s="9"/>
      <c r="W113" s="9"/>
      <c r="X113" s="9"/>
      <c r="Y113" s="9"/>
      <c r="Z113" s="9"/>
      <c r="AA113" s="9" t="s">
        <v>11</v>
      </c>
      <c r="AB113" s="9" t="s">
        <v>11</v>
      </c>
      <c r="AC113" s="9"/>
      <c r="AD113" s="9"/>
      <c r="AE113" s="9"/>
      <c r="AF113" s="9"/>
      <c r="AG113" s="9"/>
      <c r="AH113" s="9" t="s">
        <v>11</v>
      </c>
      <c r="AI113" s="1"/>
      <c r="AJ113" s="9">
        <f t="shared" si="13"/>
        <v>3</v>
      </c>
      <c r="AK113" s="9">
        <f t="shared" si="14"/>
        <v>0</v>
      </c>
      <c r="AL113" s="9">
        <f t="shared" si="15"/>
        <v>0</v>
      </c>
      <c r="AM113" s="9">
        <f t="shared" si="16"/>
        <v>0</v>
      </c>
      <c r="AN113" s="9">
        <f t="shared" si="17"/>
        <v>0</v>
      </c>
      <c r="AO113" s="9">
        <f t="shared" si="18"/>
        <v>0</v>
      </c>
    </row>
    <row r="114" spans="2:41">
      <c r="B114" s="8" t="s">
        <v>64</v>
      </c>
      <c r="C114" s="8" t="s">
        <v>17</v>
      </c>
      <c r="D114" s="9" t="s">
        <v>4</v>
      </c>
      <c r="E114" s="9" t="s">
        <v>4</v>
      </c>
      <c r="F114" s="9" t="s">
        <v>4</v>
      </c>
      <c r="G114" s="9" t="s">
        <v>4</v>
      </c>
      <c r="H114" s="9" t="s">
        <v>4</v>
      </c>
      <c r="I114" s="22" t="s">
        <v>8</v>
      </c>
      <c r="J114" s="9" t="s">
        <v>3</v>
      </c>
      <c r="K114" s="9" t="s">
        <v>3</v>
      </c>
      <c r="L114" s="9"/>
      <c r="M114" s="9" t="s">
        <v>11</v>
      </c>
      <c r="N114" s="9" t="s">
        <v>11</v>
      </c>
      <c r="O114" s="9"/>
      <c r="P114" s="9"/>
      <c r="Q114" s="9"/>
      <c r="R114" s="9"/>
      <c r="S114" s="9"/>
      <c r="T114" s="9" t="s">
        <v>11</v>
      </c>
      <c r="U114" s="9" t="s">
        <v>11</v>
      </c>
      <c r="V114" s="9"/>
      <c r="W114" s="9"/>
      <c r="X114" s="9"/>
      <c r="Y114" s="9"/>
      <c r="Z114" s="9"/>
      <c r="AA114" s="9" t="s">
        <v>11</v>
      </c>
      <c r="AB114" s="9" t="s">
        <v>11</v>
      </c>
      <c r="AC114" s="9"/>
      <c r="AD114" s="9"/>
      <c r="AE114" s="9"/>
      <c r="AF114" s="9"/>
      <c r="AG114" s="9"/>
      <c r="AH114" s="9" t="s">
        <v>11</v>
      </c>
      <c r="AI114" s="1"/>
      <c r="AJ114" s="9">
        <f t="shared" si="13"/>
        <v>2</v>
      </c>
      <c r="AK114" s="9">
        <f t="shared" si="14"/>
        <v>5</v>
      </c>
      <c r="AL114" s="9">
        <f t="shared" si="15"/>
        <v>0</v>
      </c>
      <c r="AM114" s="9">
        <f t="shared" si="16"/>
        <v>0</v>
      </c>
      <c r="AN114" s="9">
        <f t="shared" si="17"/>
        <v>0</v>
      </c>
      <c r="AO114" s="9">
        <f t="shared" si="18"/>
        <v>1</v>
      </c>
    </row>
    <row r="115" spans="2:41">
      <c r="B115" s="8" t="s">
        <v>65</v>
      </c>
      <c r="C115" s="8" t="s">
        <v>13</v>
      </c>
      <c r="D115" s="9"/>
      <c r="E115" s="9"/>
      <c r="F115" s="9" t="s">
        <v>11</v>
      </c>
      <c r="G115" s="9" t="s">
        <v>11</v>
      </c>
      <c r="H115" s="9" t="s">
        <v>3</v>
      </c>
      <c r="I115" s="9" t="s">
        <v>3</v>
      </c>
      <c r="J115" s="9" t="s">
        <v>3</v>
      </c>
      <c r="K115" s="9" t="s">
        <v>5</v>
      </c>
      <c r="L115" s="9"/>
      <c r="M115" s="9" t="s">
        <v>11</v>
      </c>
      <c r="N115" s="9" t="s">
        <v>11</v>
      </c>
      <c r="O115" s="9"/>
      <c r="P115" s="9"/>
      <c r="Q115" s="9"/>
      <c r="R115" s="9"/>
      <c r="S115" s="9"/>
      <c r="T115" s="9" t="s">
        <v>11</v>
      </c>
      <c r="U115" s="9" t="s">
        <v>11</v>
      </c>
      <c r="V115" s="9"/>
      <c r="W115" s="9"/>
      <c r="X115" s="9"/>
      <c r="Y115" s="9"/>
      <c r="Z115" s="9"/>
      <c r="AA115" s="9" t="s">
        <v>11</v>
      </c>
      <c r="AB115" s="9" t="s">
        <v>11</v>
      </c>
      <c r="AC115" s="9"/>
      <c r="AD115" s="9"/>
      <c r="AE115" s="9"/>
      <c r="AF115" s="9"/>
      <c r="AG115" s="9"/>
      <c r="AH115" s="9" t="s">
        <v>11</v>
      </c>
      <c r="AI115" s="1"/>
      <c r="AJ115" s="9">
        <f t="shared" si="13"/>
        <v>3</v>
      </c>
      <c r="AK115" s="9">
        <f t="shared" si="14"/>
        <v>0</v>
      </c>
      <c r="AL115" s="9">
        <f t="shared" si="15"/>
        <v>1</v>
      </c>
      <c r="AM115" s="9">
        <f t="shared" si="16"/>
        <v>0</v>
      </c>
      <c r="AN115" s="9">
        <f t="shared" si="17"/>
        <v>0</v>
      </c>
      <c r="AO115" s="9">
        <f t="shared" si="18"/>
        <v>0</v>
      </c>
    </row>
    <row r="116" spans="2:41">
      <c r="B116" s="8" t="s">
        <v>66</v>
      </c>
      <c r="C116" s="8" t="s">
        <v>10</v>
      </c>
      <c r="D116" s="9"/>
      <c r="E116" s="9"/>
      <c r="F116" s="9" t="s">
        <v>11</v>
      </c>
      <c r="G116" s="9" t="s">
        <v>11</v>
      </c>
      <c r="H116" s="9" t="s">
        <v>3</v>
      </c>
      <c r="I116" s="9" t="s">
        <v>3</v>
      </c>
      <c r="J116" s="9" t="s">
        <v>3</v>
      </c>
      <c r="K116" s="9"/>
      <c r="L116" s="9"/>
      <c r="M116" s="9" t="s">
        <v>11</v>
      </c>
      <c r="N116" s="9" t="s">
        <v>11</v>
      </c>
      <c r="O116" s="9"/>
      <c r="P116" s="9"/>
      <c r="Q116" s="9"/>
      <c r="R116" s="9"/>
      <c r="S116" s="9"/>
      <c r="T116" s="9" t="s">
        <v>11</v>
      </c>
      <c r="U116" s="9" t="s">
        <v>11</v>
      </c>
      <c r="V116" s="9"/>
      <c r="W116" s="9"/>
      <c r="X116" s="9"/>
      <c r="Y116" s="9"/>
      <c r="Z116" s="9"/>
      <c r="AA116" s="9" t="s">
        <v>11</v>
      </c>
      <c r="AB116" s="9" t="s">
        <v>11</v>
      </c>
      <c r="AC116" s="9"/>
      <c r="AD116" s="9"/>
      <c r="AE116" s="9"/>
      <c r="AF116" s="9"/>
      <c r="AG116" s="9"/>
      <c r="AH116" s="9" t="s">
        <v>11</v>
      </c>
      <c r="AI116" s="1"/>
      <c r="AJ116" s="9">
        <f t="shared" si="13"/>
        <v>3</v>
      </c>
      <c r="AK116" s="9">
        <f t="shared" si="14"/>
        <v>0</v>
      </c>
      <c r="AL116" s="9">
        <f t="shared" si="15"/>
        <v>0</v>
      </c>
      <c r="AM116" s="9">
        <f t="shared" si="16"/>
        <v>0</v>
      </c>
      <c r="AN116" s="9">
        <f t="shared" si="17"/>
        <v>0</v>
      </c>
      <c r="AO116" s="9">
        <f t="shared" si="18"/>
        <v>0</v>
      </c>
    </row>
    <row r="117" spans="2:41"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2"/>
      <c r="AJ117" s="15"/>
      <c r="AK117" s="15"/>
      <c r="AL117" s="15"/>
      <c r="AM117" s="15"/>
      <c r="AN117" s="15"/>
      <c r="AO117" s="15"/>
    </row>
    <row r="118" spans="2:37">
      <c r="B118" s="25" t="s">
        <v>67</v>
      </c>
      <c r="C118" s="25"/>
      <c r="D118" s="17">
        <f t="shared" ref="D118:AH118" si="19">COUNTIF(D68:D116,"P")</f>
        <v>0</v>
      </c>
      <c r="E118" s="17">
        <f t="shared" si="19"/>
        <v>0</v>
      </c>
      <c r="F118" s="17">
        <f t="shared" si="19"/>
        <v>0</v>
      </c>
      <c r="G118" s="17">
        <f t="shared" si="19"/>
        <v>0</v>
      </c>
      <c r="H118" s="17">
        <f t="shared" si="19"/>
        <v>40</v>
      </c>
      <c r="I118" s="17">
        <f t="shared" si="19"/>
        <v>42</v>
      </c>
      <c r="J118" s="17">
        <f t="shared" si="19"/>
        <v>43</v>
      </c>
      <c r="K118" s="17">
        <f t="shared" si="19"/>
        <v>37</v>
      </c>
      <c r="L118" s="17">
        <f t="shared" si="19"/>
        <v>0</v>
      </c>
      <c r="M118" s="17">
        <f t="shared" si="19"/>
        <v>0</v>
      </c>
      <c r="N118" s="17">
        <f t="shared" si="19"/>
        <v>0</v>
      </c>
      <c r="O118" s="17">
        <f t="shared" si="19"/>
        <v>0</v>
      </c>
      <c r="P118" s="17">
        <f t="shared" si="19"/>
        <v>0</v>
      </c>
      <c r="Q118" s="17">
        <f t="shared" si="19"/>
        <v>0</v>
      </c>
      <c r="R118" s="17">
        <f t="shared" si="19"/>
        <v>0</v>
      </c>
      <c r="S118" s="17">
        <f t="shared" si="19"/>
        <v>0</v>
      </c>
      <c r="T118" s="17">
        <f t="shared" si="19"/>
        <v>0</v>
      </c>
      <c r="U118" s="17">
        <f t="shared" si="19"/>
        <v>0</v>
      </c>
      <c r="V118" s="17">
        <f t="shared" si="19"/>
        <v>0</v>
      </c>
      <c r="W118" s="17">
        <f t="shared" si="19"/>
        <v>0</v>
      </c>
      <c r="X118" s="17">
        <f t="shared" si="19"/>
        <v>0</v>
      </c>
      <c r="Y118" s="17">
        <f t="shared" si="19"/>
        <v>0</v>
      </c>
      <c r="Z118" s="17">
        <f t="shared" si="19"/>
        <v>0</v>
      </c>
      <c r="AA118" s="17">
        <f t="shared" si="19"/>
        <v>0</v>
      </c>
      <c r="AB118" s="17">
        <f t="shared" si="19"/>
        <v>0</v>
      </c>
      <c r="AC118" s="17">
        <f t="shared" si="19"/>
        <v>0</v>
      </c>
      <c r="AD118" s="17">
        <f t="shared" si="19"/>
        <v>0</v>
      </c>
      <c r="AE118" s="17">
        <f t="shared" si="19"/>
        <v>0</v>
      </c>
      <c r="AF118" s="17">
        <f t="shared" si="19"/>
        <v>0</v>
      </c>
      <c r="AG118" s="17">
        <f t="shared" si="19"/>
        <v>0</v>
      </c>
      <c r="AH118" s="17">
        <f t="shared" si="19"/>
        <v>0</v>
      </c>
      <c r="AJ118" s="33">
        <f t="shared" ref="AJ118:AJ121" si="20">SUM(D118:AH118)</f>
        <v>162</v>
      </c>
      <c r="AK118" s="34"/>
    </row>
    <row r="119" spans="2:37">
      <c r="B119" s="26" t="s">
        <v>68</v>
      </c>
      <c r="C119" s="26"/>
      <c r="D119" s="17">
        <f t="shared" ref="D119:AH119" si="21">COUNTIF(D68:D116,"FI")</f>
        <v>0</v>
      </c>
      <c r="E119" s="17">
        <f t="shared" si="21"/>
        <v>0</v>
      </c>
      <c r="F119" s="17">
        <f t="shared" si="21"/>
        <v>0</v>
      </c>
      <c r="G119" s="17">
        <f t="shared" si="21"/>
        <v>0</v>
      </c>
      <c r="H119" s="17">
        <f t="shared" si="21"/>
        <v>3</v>
      </c>
      <c r="I119" s="17">
        <f t="shared" si="21"/>
        <v>0</v>
      </c>
      <c r="J119" s="17">
        <f t="shared" si="21"/>
        <v>0</v>
      </c>
      <c r="K119" s="17">
        <f t="shared" si="21"/>
        <v>2</v>
      </c>
      <c r="L119" s="17">
        <f t="shared" si="21"/>
        <v>0</v>
      </c>
      <c r="M119" s="17">
        <f t="shared" si="21"/>
        <v>0</v>
      </c>
      <c r="N119" s="17">
        <f t="shared" si="21"/>
        <v>0</v>
      </c>
      <c r="O119" s="17">
        <f t="shared" si="21"/>
        <v>0</v>
      </c>
      <c r="P119" s="17">
        <f t="shared" si="21"/>
        <v>0</v>
      </c>
      <c r="Q119" s="17">
        <f t="shared" si="21"/>
        <v>0</v>
      </c>
      <c r="R119" s="17">
        <f t="shared" si="21"/>
        <v>0</v>
      </c>
      <c r="S119" s="17">
        <f t="shared" si="21"/>
        <v>0</v>
      </c>
      <c r="T119" s="17">
        <f t="shared" si="21"/>
        <v>0</v>
      </c>
      <c r="U119" s="17">
        <f t="shared" si="21"/>
        <v>0</v>
      </c>
      <c r="V119" s="17">
        <f t="shared" si="21"/>
        <v>0</v>
      </c>
      <c r="W119" s="17">
        <f t="shared" si="21"/>
        <v>0</v>
      </c>
      <c r="X119" s="17">
        <f t="shared" si="21"/>
        <v>0</v>
      </c>
      <c r="Y119" s="17">
        <f t="shared" si="21"/>
        <v>0</v>
      </c>
      <c r="Z119" s="17">
        <f t="shared" si="21"/>
        <v>0</v>
      </c>
      <c r="AA119" s="17">
        <f t="shared" si="21"/>
        <v>0</v>
      </c>
      <c r="AB119" s="17">
        <f t="shared" si="21"/>
        <v>0</v>
      </c>
      <c r="AC119" s="17">
        <f t="shared" si="21"/>
        <v>0</v>
      </c>
      <c r="AD119" s="17">
        <f t="shared" si="21"/>
        <v>0</v>
      </c>
      <c r="AE119" s="17">
        <f t="shared" si="21"/>
        <v>0</v>
      </c>
      <c r="AF119" s="17">
        <f t="shared" si="21"/>
        <v>0</v>
      </c>
      <c r="AG119" s="17">
        <f t="shared" si="21"/>
        <v>0</v>
      </c>
      <c r="AH119" s="17">
        <f t="shared" si="21"/>
        <v>0</v>
      </c>
      <c r="AJ119" s="35">
        <f t="shared" si="20"/>
        <v>5</v>
      </c>
      <c r="AK119" s="36"/>
    </row>
    <row r="120" spans="2:37">
      <c r="B120" s="27" t="s">
        <v>69</v>
      </c>
      <c r="C120" s="27"/>
      <c r="D120" s="17">
        <f t="shared" ref="D120:AH120" si="22">COUNTIF(D68:D116,"FE")</f>
        <v>5</v>
      </c>
      <c r="E120" s="17">
        <f t="shared" si="22"/>
        <v>5</v>
      </c>
      <c r="F120" s="17">
        <f t="shared" si="22"/>
        <v>5</v>
      </c>
      <c r="G120" s="17">
        <f t="shared" si="22"/>
        <v>5</v>
      </c>
      <c r="H120" s="17">
        <f t="shared" si="22"/>
        <v>4</v>
      </c>
      <c r="I120" s="17">
        <f t="shared" si="22"/>
        <v>3</v>
      </c>
      <c r="J120" s="17">
        <f t="shared" si="22"/>
        <v>2</v>
      </c>
      <c r="K120" s="17">
        <f t="shared" si="22"/>
        <v>2</v>
      </c>
      <c r="L120" s="17">
        <f t="shared" si="22"/>
        <v>2</v>
      </c>
      <c r="M120" s="17">
        <f t="shared" si="22"/>
        <v>2</v>
      </c>
      <c r="N120" s="17">
        <f t="shared" si="22"/>
        <v>2</v>
      </c>
      <c r="O120" s="17">
        <f t="shared" si="22"/>
        <v>2</v>
      </c>
      <c r="P120" s="17">
        <f t="shared" si="22"/>
        <v>2</v>
      </c>
      <c r="Q120" s="17">
        <f t="shared" si="22"/>
        <v>2</v>
      </c>
      <c r="R120" s="17">
        <f t="shared" si="22"/>
        <v>2</v>
      </c>
      <c r="S120" s="17">
        <f t="shared" si="22"/>
        <v>2</v>
      </c>
      <c r="T120" s="17">
        <f t="shared" si="22"/>
        <v>2</v>
      </c>
      <c r="U120" s="17">
        <f t="shared" si="22"/>
        <v>2</v>
      </c>
      <c r="V120" s="17">
        <f t="shared" si="22"/>
        <v>2</v>
      </c>
      <c r="W120" s="17">
        <f t="shared" si="22"/>
        <v>2</v>
      </c>
      <c r="X120" s="17">
        <f t="shared" si="22"/>
        <v>2</v>
      </c>
      <c r="Y120" s="17">
        <f t="shared" si="22"/>
        <v>2</v>
      </c>
      <c r="Z120" s="17">
        <f t="shared" si="22"/>
        <v>2</v>
      </c>
      <c r="AA120" s="17">
        <f t="shared" si="22"/>
        <v>2</v>
      </c>
      <c r="AB120" s="17">
        <f t="shared" si="22"/>
        <v>2</v>
      </c>
      <c r="AC120" s="17">
        <f t="shared" si="22"/>
        <v>2</v>
      </c>
      <c r="AD120" s="17">
        <f t="shared" si="22"/>
        <v>2</v>
      </c>
      <c r="AE120" s="17">
        <f t="shared" si="22"/>
        <v>1</v>
      </c>
      <c r="AF120" s="17">
        <f t="shared" si="22"/>
        <v>1</v>
      </c>
      <c r="AG120" s="17">
        <f t="shared" si="22"/>
        <v>1</v>
      </c>
      <c r="AH120" s="17">
        <f t="shared" si="22"/>
        <v>1</v>
      </c>
      <c r="AJ120" s="37">
        <f t="shared" si="20"/>
        <v>73</v>
      </c>
      <c r="AK120" s="38"/>
    </row>
    <row r="121" spans="2:37">
      <c r="B121" s="28" t="s">
        <v>70</v>
      </c>
      <c r="C121" s="28"/>
      <c r="D121" s="17">
        <f t="shared" ref="D121:AH121" si="23">COUNTIF(D68:D116,"FJ")</f>
        <v>0</v>
      </c>
      <c r="E121" s="17">
        <f t="shared" si="23"/>
        <v>0</v>
      </c>
      <c r="F121" s="17">
        <f t="shared" si="23"/>
        <v>0</v>
      </c>
      <c r="G121" s="17">
        <f t="shared" si="23"/>
        <v>0</v>
      </c>
      <c r="H121" s="17">
        <f t="shared" si="23"/>
        <v>1</v>
      </c>
      <c r="I121" s="17">
        <f t="shared" si="23"/>
        <v>2</v>
      </c>
      <c r="J121" s="17">
        <f t="shared" si="23"/>
        <v>3</v>
      </c>
      <c r="K121" s="17">
        <f t="shared" si="23"/>
        <v>1</v>
      </c>
      <c r="L121" s="17">
        <f t="shared" si="23"/>
        <v>1</v>
      </c>
      <c r="M121" s="17">
        <f t="shared" si="23"/>
        <v>0</v>
      </c>
      <c r="N121" s="17">
        <f t="shared" si="23"/>
        <v>0</v>
      </c>
      <c r="O121" s="17">
        <f t="shared" si="23"/>
        <v>0</v>
      </c>
      <c r="P121" s="17">
        <f t="shared" si="23"/>
        <v>0</v>
      </c>
      <c r="Q121" s="17">
        <f t="shared" si="23"/>
        <v>0</v>
      </c>
      <c r="R121" s="17">
        <f t="shared" si="23"/>
        <v>0</v>
      </c>
      <c r="S121" s="17">
        <f t="shared" si="23"/>
        <v>0</v>
      </c>
      <c r="T121" s="17">
        <f t="shared" si="23"/>
        <v>0</v>
      </c>
      <c r="U121" s="17">
        <f t="shared" si="23"/>
        <v>0</v>
      </c>
      <c r="V121" s="17">
        <f t="shared" si="23"/>
        <v>0</v>
      </c>
      <c r="W121" s="17">
        <f t="shared" si="23"/>
        <v>0</v>
      </c>
      <c r="X121" s="17">
        <f t="shared" si="23"/>
        <v>0</v>
      </c>
      <c r="Y121" s="17">
        <f t="shared" si="23"/>
        <v>0</v>
      </c>
      <c r="Z121" s="17">
        <f t="shared" si="23"/>
        <v>0</v>
      </c>
      <c r="AA121" s="17">
        <f t="shared" si="23"/>
        <v>0</v>
      </c>
      <c r="AB121" s="17">
        <f t="shared" si="23"/>
        <v>0</v>
      </c>
      <c r="AC121" s="17">
        <f t="shared" si="23"/>
        <v>0</v>
      </c>
      <c r="AD121" s="17">
        <f t="shared" si="23"/>
        <v>0</v>
      </c>
      <c r="AE121" s="17">
        <f t="shared" si="23"/>
        <v>0</v>
      </c>
      <c r="AF121" s="17">
        <f t="shared" si="23"/>
        <v>0</v>
      </c>
      <c r="AG121" s="17">
        <f t="shared" si="23"/>
        <v>0</v>
      </c>
      <c r="AH121" s="17">
        <f t="shared" si="23"/>
        <v>0</v>
      </c>
      <c r="AJ121" s="39">
        <f t="shared" si="20"/>
        <v>8</v>
      </c>
      <c r="AK121" s="40"/>
    </row>
    <row r="122" spans="2:37">
      <c r="B122" s="29" t="s">
        <v>71</v>
      </c>
      <c r="C122" s="29"/>
      <c r="D122" s="17">
        <f t="shared" ref="D122:AH122" si="24">COUNTIF(D68:D116,"DSR")</f>
        <v>0</v>
      </c>
      <c r="E122" s="17">
        <f t="shared" si="24"/>
        <v>0</v>
      </c>
      <c r="F122" s="17">
        <f t="shared" si="24"/>
        <v>44</v>
      </c>
      <c r="G122" s="17">
        <f t="shared" si="24"/>
        <v>44</v>
      </c>
      <c r="H122" s="17">
        <f t="shared" si="24"/>
        <v>0</v>
      </c>
      <c r="I122" s="17">
        <f t="shared" si="24"/>
        <v>0</v>
      </c>
      <c r="J122" s="17">
        <f t="shared" si="24"/>
        <v>0</v>
      </c>
      <c r="K122" s="17">
        <f t="shared" si="24"/>
        <v>0</v>
      </c>
      <c r="L122" s="17">
        <f t="shared" si="24"/>
        <v>0</v>
      </c>
      <c r="M122" s="17">
        <f t="shared" si="24"/>
        <v>47</v>
      </c>
      <c r="N122" s="17">
        <f t="shared" si="24"/>
        <v>47</v>
      </c>
      <c r="O122" s="17">
        <f t="shared" si="24"/>
        <v>0</v>
      </c>
      <c r="P122" s="17">
        <f t="shared" si="24"/>
        <v>0</v>
      </c>
      <c r="Q122" s="17">
        <f t="shared" si="24"/>
        <v>0</v>
      </c>
      <c r="R122" s="17">
        <f t="shared" si="24"/>
        <v>0</v>
      </c>
      <c r="S122" s="17">
        <f t="shared" si="24"/>
        <v>0</v>
      </c>
      <c r="T122" s="17">
        <f t="shared" si="24"/>
        <v>47</v>
      </c>
      <c r="U122" s="17">
        <f t="shared" si="24"/>
        <v>47</v>
      </c>
      <c r="V122" s="17">
        <f t="shared" si="24"/>
        <v>0</v>
      </c>
      <c r="W122" s="17">
        <f t="shared" si="24"/>
        <v>0</v>
      </c>
      <c r="X122" s="17">
        <f t="shared" si="24"/>
        <v>0</v>
      </c>
      <c r="Y122" s="17">
        <f t="shared" si="24"/>
        <v>0</v>
      </c>
      <c r="Z122" s="17">
        <f t="shared" si="24"/>
        <v>0</v>
      </c>
      <c r="AA122" s="17">
        <f t="shared" si="24"/>
        <v>47</v>
      </c>
      <c r="AB122" s="17">
        <f t="shared" si="24"/>
        <v>47</v>
      </c>
      <c r="AC122" s="17">
        <f t="shared" si="24"/>
        <v>0</v>
      </c>
      <c r="AD122" s="17">
        <f t="shared" si="24"/>
        <v>0</v>
      </c>
      <c r="AE122" s="17">
        <f t="shared" si="24"/>
        <v>0</v>
      </c>
      <c r="AF122" s="17">
        <f t="shared" si="24"/>
        <v>0</v>
      </c>
      <c r="AG122" s="17">
        <f t="shared" si="24"/>
        <v>0</v>
      </c>
      <c r="AH122" s="17">
        <f t="shared" si="24"/>
        <v>48</v>
      </c>
      <c r="AJ122" s="41"/>
      <c r="AK122" s="41"/>
    </row>
    <row r="123" spans="2:37">
      <c r="B123" s="30" t="s">
        <v>72</v>
      </c>
      <c r="C123" s="30"/>
      <c r="D123" s="17">
        <f t="shared" ref="D123:AH123" si="25">COUNTIF(D68:D116,"SC")</f>
        <v>0</v>
      </c>
      <c r="E123" s="17">
        <f t="shared" si="25"/>
        <v>0</v>
      </c>
      <c r="F123" s="17">
        <f t="shared" si="25"/>
        <v>0</v>
      </c>
      <c r="G123" s="17">
        <f t="shared" si="25"/>
        <v>0</v>
      </c>
      <c r="H123" s="17">
        <f t="shared" si="25"/>
        <v>0</v>
      </c>
      <c r="I123" s="17">
        <f t="shared" si="25"/>
        <v>1</v>
      </c>
      <c r="J123" s="17">
        <f t="shared" si="25"/>
        <v>1</v>
      </c>
      <c r="K123" s="17">
        <f t="shared" si="25"/>
        <v>0</v>
      </c>
      <c r="L123" s="17">
        <f t="shared" si="25"/>
        <v>0</v>
      </c>
      <c r="M123" s="17">
        <f t="shared" si="25"/>
        <v>0</v>
      </c>
      <c r="N123" s="17">
        <f t="shared" si="25"/>
        <v>0</v>
      </c>
      <c r="O123" s="17">
        <f t="shared" si="25"/>
        <v>0</v>
      </c>
      <c r="P123" s="17">
        <f t="shared" si="25"/>
        <v>0</v>
      </c>
      <c r="Q123" s="17">
        <f t="shared" si="25"/>
        <v>0</v>
      </c>
      <c r="R123" s="17">
        <f t="shared" si="25"/>
        <v>0</v>
      </c>
      <c r="S123" s="17">
        <f t="shared" si="25"/>
        <v>0</v>
      </c>
      <c r="T123" s="17">
        <f t="shared" si="25"/>
        <v>0</v>
      </c>
      <c r="U123" s="17">
        <f t="shared" si="25"/>
        <v>0</v>
      </c>
      <c r="V123" s="17">
        <f t="shared" si="25"/>
        <v>0</v>
      </c>
      <c r="W123" s="17">
        <f t="shared" si="25"/>
        <v>0</v>
      </c>
      <c r="X123" s="17">
        <f t="shared" si="25"/>
        <v>0</v>
      </c>
      <c r="Y123" s="17">
        <f t="shared" si="25"/>
        <v>0</v>
      </c>
      <c r="Z123" s="17">
        <f t="shared" si="25"/>
        <v>0</v>
      </c>
      <c r="AA123" s="17">
        <f t="shared" si="25"/>
        <v>0</v>
      </c>
      <c r="AB123" s="17">
        <f t="shared" si="25"/>
        <v>0</v>
      </c>
      <c r="AC123" s="17">
        <f t="shared" si="25"/>
        <v>0</v>
      </c>
      <c r="AD123" s="17">
        <f t="shared" si="25"/>
        <v>0</v>
      </c>
      <c r="AE123" s="17">
        <f t="shared" si="25"/>
        <v>0</v>
      </c>
      <c r="AF123" s="17">
        <f t="shared" si="25"/>
        <v>0</v>
      </c>
      <c r="AG123" s="17">
        <f t="shared" si="25"/>
        <v>0</v>
      </c>
      <c r="AH123" s="17">
        <f t="shared" si="25"/>
        <v>0</v>
      </c>
      <c r="AJ123" s="42">
        <f>SUM(D123:AH123)</f>
        <v>2</v>
      </c>
      <c r="AK123" s="43"/>
    </row>
    <row r="124" spans="2:37">
      <c r="B124" s="30" t="s">
        <v>73</v>
      </c>
      <c r="C124" s="30"/>
      <c r="D124" s="17">
        <f t="shared" ref="D124:AH124" si="26">COUNTIF(D68:D116,"ET")</f>
        <v>0</v>
      </c>
      <c r="E124" s="17">
        <f t="shared" si="26"/>
        <v>0</v>
      </c>
      <c r="F124" s="17">
        <f t="shared" si="26"/>
        <v>0</v>
      </c>
      <c r="G124" s="17">
        <f t="shared" si="26"/>
        <v>0</v>
      </c>
      <c r="H124" s="17">
        <f t="shared" si="26"/>
        <v>1</v>
      </c>
      <c r="I124" s="17">
        <f t="shared" si="26"/>
        <v>1</v>
      </c>
      <c r="J124" s="17">
        <f t="shared" si="26"/>
        <v>0</v>
      </c>
      <c r="K124" s="17">
        <f t="shared" si="26"/>
        <v>0</v>
      </c>
      <c r="L124" s="17">
        <f t="shared" si="26"/>
        <v>0</v>
      </c>
      <c r="M124" s="17">
        <f t="shared" si="26"/>
        <v>0</v>
      </c>
      <c r="N124" s="17">
        <f t="shared" si="26"/>
        <v>0</v>
      </c>
      <c r="O124" s="17">
        <f t="shared" si="26"/>
        <v>0</v>
      </c>
      <c r="P124" s="17">
        <f t="shared" si="26"/>
        <v>0</v>
      </c>
      <c r="Q124" s="17">
        <f t="shared" si="26"/>
        <v>0</v>
      </c>
      <c r="R124" s="17">
        <f t="shared" si="26"/>
        <v>0</v>
      </c>
      <c r="S124" s="17">
        <f t="shared" si="26"/>
        <v>0</v>
      </c>
      <c r="T124" s="17">
        <f t="shared" si="26"/>
        <v>0</v>
      </c>
      <c r="U124" s="17">
        <f t="shared" si="26"/>
        <v>0</v>
      </c>
      <c r="V124" s="17">
        <f t="shared" si="26"/>
        <v>0</v>
      </c>
      <c r="W124" s="17">
        <f t="shared" si="26"/>
        <v>0</v>
      </c>
      <c r="X124" s="17">
        <f t="shared" si="26"/>
        <v>0</v>
      </c>
      <c r="Y124" s="17">
        <f t="shared" si="26"/>
        <v>0</v>
      </c>
      <c r="Z124" s="17">
        <f t="shared" si="26"/>
        <v>0</v>
      </c>
      <c r="AA124" s="17">
        <f t="shared" si="26"/>
        <v>0</v>
      </c>
      <c r="AB124" s="17">
        <f t="shared" si="26"/>
        <v>0</v>
      </c>
      <c r="AC124" s="17">
        <f t="shared" si="26"/>
        <v>0</v>
      </c>
      <c r="AD124" s="17">
        <f t="shared" si="26"/>
        <v>0</v>
      </c>
      <c r="AE124" s="17">
        <f t="shared" si="26"/>
        <v>0</v>
      </c>
      <c r="AF124" s="17">
        <f t="shared" si="26"/>
        <v>0</v>
      </c>
      <c r="AG124" s="17">
        <f t="shared" si="26"/>
        <v>0</v>
      </c>
      <c r="AH124" s="17">
        <f t="shared" si="26"/>
        <v>0</v>
      </c>
      <c r="AJ124" s="42">
        <f>SUM(D124:AH124)</f>
        <v>2</v>
      </c>
      <c r="AK124" s="43"/>
    </row>
    <row r="125" spans="2:34">
      <c r="B125" s="16" t="s">
        <v>75</v>
      </c>
      <c r="C125" s="16"/>
      <c r="D125" s="31" t="e">
        <f t="shared" ref="D125:H125" si="27">D118/(SUM(D118:D119,D121,D123:D124))</f>
        <v>#DIV/0!</v>
      </c>
      <c r="E125" s="31" t="e">
        <f t="shared" si="27"/>
        <v>#DIV/0!</v>
      </c>
      <c r="F125" s="31" t="e">
        <f t="shared" si="27"/>
        <v>#DIV/0!</v>
      </c>
      <c r="G125" s="31" t="e">
        <f t="shared" si="27"/>
        <v>#DIV/0!</v>
      </c>
      <c r="H125" s="31">
        <f t="shared" si="27"/>
        <v>0.888888888888889</v>
      </c>
      <c r="I125" s="32">
        <v>0.86</v>
      </c>
      <c r="J125" s="32">
        <v>0.86</v>
      </c>
      <c r="K125" s="31">
        <f t="shared" ref="K125:P125" si="28">K118/(SUM(K118:K119,K121,K123:K124))</f>
        <v>0.925</v>
      </c>
      <c r="L125" s="31">
        <f t="shared" si="28"/>
        <v>0</v>
      </c>
      <c r="M125" s="31" t="e">
        <f t="shared" si="28"/>
        <v>#DIV/0!</v>
      </c>
      <c r="N125" s="31" t="e">
        <f t="shared" si="28"/>
        <v>#DIV/0!</v>
      </c>
      <c r="O125" s="31" t="e">
        <f t="shared" si="28"/>
        <v>#DIV/0!</v>
      </c>
      <c r="P125" s="31" t="e">
        <f t="shared" si="28"/>
        <v>#DIV/0!</v>
      </c>
      <c r="Q125" s="32">
        <v>0.71</v>
      </c>
      <c r="R125" s="31" t="e">
        <f t="shared" ref="R125:V125" si="29">R118/(SUM(R118:R119,R121,R123:R124))</f>
        <v>#DIV/0!</v>
      </c>
      <c r="S125" s="31" t="e">
        <f t="shared" si="29"/>
        <v>#DIV/0!</v>
      </c>
      <c r="T125" s="31" t="e">
        <f t="shared" si="29"/>
        <v>#DIV/0!</v>
      </c>
      <c r="U125" s="31" t="e">
        <f t="shared" si="29"/>
        <v>#DIV/0!</v>
      </c>
      <c r="V125" s="31" t="e">
        <f t="shared" si="29"/>
        <v>#DIV/0!</v>
      </c>
      <c r="W125" s="32">
        <v>0.82</v>
      </c>
      <c r="X125" s="32">
        <v>0.82</v>
      </c>
      <c r="Y125" s="31" t="e">
        <f t="shared" ref="Y125:AA125" si="30">Y118/(SUM(Y118:Y119,Y121,Y123:Y124))</f>
        <v>#DIV/0!</v>
      </c>
      <c r="Z125" s="31" t="e">
        <f t="shared" si="30"/>
        <v>#DIV/0!</v>
      </c>
      <c r="AA125" s="31" t="e">
        <f t="shared" si="30"/>
        <v>#DIV/0!</v>
      </c>
      <c r="AB125" s="32">
        <v>0.76</v>
      </c>
      <c r="AC125" s="32">
        <v>0.76</v>
      </c>
      <c r="AD125" s="32">
        <v>0.76</v>
      </c>
      <c r="AE125" s="32">
        <v>0.76</v>
      </c>
      <c r="AF125" s="31" t="e">
        <f t="shared" ref="AF125:AH125" si="31">AF118/(SUM(AF118:AF119,AF121,AF123:AF124))</f>
        <v>#DIV/0!</v>
      </c>
      <c r="AG125" s="31" t="e">
        <f t="shared" si="31"/>
        <v>#DIV/0!</v>
      </c>
      <c r="AH125" s="31" t="e">
        <f t="shared" si="31"/>
        <v>#DIV/0!</v>
      </c>
    </row>
    <row r="126" spans="2:34">
      <c r="B126" s="16" t="s">
        <v>76</v>
      </c>
      <c r="C126" s="16"/>
      <c r="D126" s="31" t="e">
        <f t="shared" ref="D126:H126" si="32">1-D125</f>
        <v>#DIV/0!</v>
      </c>
      <c r="E126" s="31" t="e">
        <f t="shared" si="32"/>
        <v>#DIV/0!</v>
      </c>
      <c r="F126" s="31" t="e">
        <f t="shared" si="32"/>
        <v>#DIV/0!</v>
      </c>
      <c r="G126" s="31" t="e">
        <f t="shared" si="32"/>
        <v>#DIV/0!</v>
      </c>
      <c r="H126" s="31">
        <f t="shared" si="32"/>
        <v>0.111111111111111</v>
      </c>
      <c r="I126" s="31"/>
      <c r="J126" s="31"/>
      <c r="K126" s="31">
        <f t="shared" ref="K126:P126" si="33">1-K125</f>
        <v>0.075</v>
      </c>
      <c r="L126" s="31">
        <f t="shared" si="33"/>
        <v>1</v>
      </c>
      <c r="M126" s="31" t="e">
        <f t="shared" si="33"/>
        <v>#DIV/0!</v>
      </c>
      <c r="N126" s="31" t="e">
        <f t="shared" si="33"/>
        <v>#DIV/0!</v>
      </c>
      <c r="O126" s="31" t="e">
        <f t="shared" si="33"/>
        <v>#DIV/0!</v>
      </c>
      <c r="P126" s="31" t="e">
        <f t="shared" si="33"/>
        <v>#DIV/0!</v>
      </c>
      <c r="Q126" s="31"/>
      <c r="R126" s="31" t="e">
        <f t="shared" ref="R126:V126" si="34">1-R125</f>
        <v>#DIV/0!</v>
      </c>
      <c r="S126" s="31" t="e">
        <f t="shared" si="34"/>
        <v>#DIV/0!</v>
      </c>
      <c r="T126" s="31" t="e">
        <f t="shared" si="34"/>
        <v>#DIV/0!</v>
      </c>
      <c r="U126" s="31" t="e">
        <f t="shared" si="34"/>
        <v>#DIV/0!</v>
      </c>
      <c r="V126" s="31" t="e">
        <f t="shared" si="34"/>
        <v>#DIV/0!</v>
      </c>
      <c r="W126" s="31"/>
      <c r="X126" s="31"/>
      <c r="Y126" s="31" t="e">
        <f t="shared" ref="Y126:AA126" si="35">1-Y125</f>
        <v>#DIV/0!</v>
      </c>
      <c r="Z126" s="31" t="e">
        <f t="shared" si="35"/>
        <v>#DIV/0!</v>
      </c>
      <c r="AA126" s="31" t="e">
        <f t="shared" si="35"/>
        <v>#DIV/0!</v>
      </c>
      <c r="AB126" s="31"/>
      <c r="AC126" s="31"/>
      <c r="AD126" s="31"/>
      <c r="AE126" s="31"/>
      <c r="AF126" s="31" t="e">
        <f t="shared" ref="AF126:AH126" si="36">1-AF125</f>
        <v>#DIV/0!</v>
      </c>
      <c r="AG126" s="31" t="e">
        <f t="shared" si="36"/>
        <v>#DIV/0!</v>
      </c>
      <c r="AH126" s="31" t="e">
        <f t="shared" si="36"/>
        <v>#DIV/0!</v>
      </c>
    </row>
    <row r="129" ht="15.75" spans="2:41">
      <c r="B129" s="5" t="s">
        <v>77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J129" s="48">
        <v>0.87</v>
      </c>
      <c r="AK129" s="7"/>
      <c r="AL129" s="7"/>
      <c r="AM129" s="7"/>
      <c r="AN129" s="7"/>
      <c r="AO129" s="7"/>
    </row>
    <row r="130" outlineLevel="1" spans="2:41">
      <c r="B130" s="23" t="s">
        <v>1</v>
      </c>
      <c r="C130" s="24" t="s">
        <v>2</v>
      </c>
      <c r="D130" s="24">
        <v>1</v>
      </c>
      <c r="E130" s="24">
        <v>2</v>
      </c>
      <c r="F130" s="24">
        <v>3</v>
      </c>
      <c r="G130" s="24">
        <v>4</v>
      </c>
      <c r="H130" s="24">
        <v>5</v>
      </c>
      <c r="I130" s="24">
        <v>6</v>
      </c>
      <c r="J130" s="24">
        <v>7</v>
      </c>
      <c r="K130" s="24">
        <v>8</v>
      </c>
      <c r="L130" s="24">
        <v>9</v>
      </c>
      <c r="M130" s="24">
        <v>10</v>
      </c>
      <c r="N130" s="24">
        <v>11</v>
      </c>
      <c r="O130" s="24">
        <v>12</v>
      </c>
      <c r="P130" s="24">
        <v>13</v>
      </c>
      <c r="Q130" s="24">
        <v>14</v>
      </c>
      <c r="R130" s="24">
        <v>15</v>
      </c>
      <c r="S130" s="24">
        <v>16</v>
      </c>
      <c r="T130" s="24">
        <v>17</v>
      </c>
      <c r="U130" s="24">
        <v>18</v>
      </c>
      <c r="V130" s="24">
        <v>19</v>
      </c>
      <c r="W130" s="24">
        <v>20</v>
      </c>
      <c r="X130" s="24">
        <v>21</v>
      </c>
      <c r="Y130" s="24">
        <v>22</v>
      </c>
      <c r="Z130" s="24">
        <v>23</v>
      </c>
      <c r="AA130" s="24">
        <v>24</v>
      </c>
      <c r="AB130" s="24">
        <v>25</v>
      </c>
      <c r="AC130" s="24">
        <v>26</v>
      </c>
      <c r="AD130" s="24">
        <v>27</v>
      </c>
      <c r="AE130" s="24">
        <v>28</v>
      </c>
      <c r="AF130" s="24">
        <v>29</v>
      </c>
      <c r="AG130" s="24">
        <v>30</v>
      </c>
      <c r="AH130" s="24">
        <v>31</v>
      </c>
      <c r="AJ130" s="18" t="s">
        <v>3</v>
      </c>
      <c r="AK130" s="19" t="s">
        <v>4</v>
      </c>
      <c r="AL130" s="20" t="s">
        <v>5</v>
      </c>
      <c r="AM130" s="21" t="s">
        <v>6</v>
      </c>
      <c r="AN130" s="22" t="s">
        <v>7</v>
      </c>
      <c r="AO130" s="22" t="s">
        <v>8</v>
      </c>
    </row>
    <row r="131" s="1" customFormat="1" outlineLevel="1" spans="2:41">
      <c r="B131" s="8" t="s">
        <v>9</v>
      </c>
      <c r="C131" s="8" t="s">
        <v>10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11</v>
      </c>
      <c r="J131" s="9" t="s">
        <v>11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9" t="s">
        <v>11</v>
      </c>
      <c r="R131" s="9" t="s">
        <v>3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11</v>
      </c>
      <c r="X131" s="9" t="s">
        <v>11</v>
      </c>
      <c r="Y131" s="9" t="s">
        <v>3</v>
      </c>
      <c r="Z131" s="9" t="s">
        <v>3</v>
      </c>
      <c r="AA131" s="9" t="s">
        <v>3</v>
      </c>
      <c r="AB131" s="47" t="s">
        <v>78</v>
      </c>
      <c r="AC131" s="47" t="s">
        <v>79</v>
      </c>
      <c r="AD131" s="9" t="s">
        <v>11</v>
      </c>
      <c r="AE131" s="9" t="s">
        <v>11</v>
      </c>
      <c r="AF131" s="9" t="s">
        <v>3</v>
      </c>
      <c r="AG131" s="9" t="s">
        <v>3</v>
      </c>
      <c r="AH131" s="9" t="s">
        <v>3</v>
      </c>
      <c r="AJ131" s="9">
        <f t="shared" ref="AJ131:AJ154" si="37">COUNTIF(D131:AH131,"P")</f>
        <v>22</v>
      </c>
      <c r="AK131" s="9">
        <f t="shared" ref="AK131:AK154" si="38">COUNTIF(D131:AH131,"FE")</f>
        <v>0</v>
      </c>
      <c r="AL131" s="9">
        <f t="shared" ref="AL131:AL154" si="39">COUNTIF(D131:AH131,"FI")</f>
        <v>0</v>
      </c>
      <c r="AM131" s="9">
        <f t="shared" ref="AM131:AM154" si="40">COUNTIF(D131:AH131,"FJ")</f>
        <v>0</v>
      </c>
      <c r="AN131" s="9">
        <f t="shared" ref="AN131:AN154" si="41">COUNTIF(D131:AH131,"ET")</f>
        <v>0</v>
      </c>
      <c r="AO131" s="9">
        <f t="shared" ref="AO131:AO154" si="42">COUNTIF(D131:AH131,"SC")</f>
        <v>0</v>
      </c>
    </row>
    <row r="132" s="1" customFormat="1" outlineLevel="1" spans="2:41">
      <c r="B132" s="8" t="s">
        <v>12</v>
      </c>
      <c r="C132" s="8" t="s">
        <v>13</v>
      </c>
      <c r="D132" s="9" t="s">
        <v>3</v>
      </c>
      <c r="E132" s="9" t="s">
        <v>3</v>
      </c>
      <c r="F132" s="9" t="s">
        <v>3</v>
      </c>
      <c r="G132" s="9" t="s">
        <v>3</v>
      </c>
      <c r="H132" s="9" t="s">
        <v>3</v>
      </c>
      <c r="I132" s="9" t="s">
        <v>11</v>
      </c>
      <c r="J132" s="9" t="s">
        <v>11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9" t="s">
        <v>11</v>
      </c>
      <c r="R132" s="9" t="s">
        <v>3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11</v>
      </c>
      <c r="X132" s="9" t="s">
        <v>11</v>
      </c>
      <c r="Y132" s="9" t="s">
        <v>3</v>
      </c>
      <c r="Z132" s="9" t="s">
        <v>3</v>
      </c>
      <c r="AA132" s="9" t="s">
        <v>3</v>
      </c>
      <c r="AB132" s="9" t="s">
        <v>78</v>
      </c>
      <c r="AC132" s="9" t="s">
        <v>78</v>
      </c>
      <c r="AD132" s="9" t="s">
        <v>11</v>
      </c>
      <c r="AE132" s="9" t="s">
        <v>11</v>
      </c>
      <c r="AF132" s="9" t="s">
        <v>3</v>
      </c>
      <c r="AG132" s="9" t="s">
        <v>3</v>
      </c>
      <c r="AH132" s="9" t="s">
        <v>3</v>
      </c>
      <c r="AJ132" s="9">
        <f t="shared" si="37"/>
        <v>22</v>
      </c>
      <c r="AK132" s="9">
        <f t="shared" si="38"/>
        <v>0</v>
      </c>
      <c r="AL132" s="9">
        <f t="shared" si="39"/>
        <v>0</v>
      </c>
      <c r="AM132" s="9">
        <f t="shared" si="40"/>
        <v>0</v>
      </c>
      <c r="AN132" s="9">
        <f t="shared" si="41"/>
        <v>0</v>
      </c>
      <c r="AO132" s="9">
        <f t="shared" si="42"/>
        <v>0</v>
      </c>
    </row>
    <row r="133" s="1" customFormat="1" outlineLevel="1" spans="2:41">
      <c r="B133" s="8" t="s">
        <v>14</v>
      </c>
      <c r="C133" s="8" t="s">
        <v>15</v>
      </c>
      <c r="D133" s="9" t="s">
        <v>3</v>
      </c>
      <c r="E133" s="9" t="s">
        <v>3</v>
      </c>
      <c r="F133" s="9" t="s">
        <v>3</v>
      </c>
      <c r="G133" s="9" t="s">
        <v>3</v>
      </c>
      <c r="H133" s="9" t="s">
        <v>3</v>
      </c>
      <c r="I133" s="9" t="s">
        <v>11</v>
      </c>
      <c r="J133" s="9" t="s">
        <v>11</v>
      </c>
      <c r="K133" s="9" t="s">
        <v>3</v>
      </c>
      <c r="L133" s="9" t="s">
        <v>3</v>
      </c>
      <c r="M133" s="9" t="s">
        <v>3</v>
      </c>
      <c r="N133" s="9" t="s">
        <v>6</v>
      </c>
      <c r="O133" s="9" t="s">
        <v>3</v>
      </c>
      <c r="P133" s="9" t="s">
        <v>3</v>
      </c>
      <c r="Q133" s="9" t="s">
        <v>11</v>
      </c>
      <c r="R133" s="9" t="s">
        <v>3</v>
      </c>
      <c r="S133" s="9" t="s">
        <v>3</v>
      </c>
      <c r="T133" s="9" t="s">
        <v>3</v>
      </c>
      <c r="U133" s="9" t="s">
        <v>3</v>
      </c>
      <c r="V133" s="9" t="s">
        <v>8</v>
      </c>
      <c r="W133" s="9" t="s">
        <v>11</v>
      </c>
      <c r="X133" s="9" t="s">
        <v>11</v>
      </c>
      <c r="Y133" s="9" t="s">
        <v>3</v>
      </c>
      <c r="Z133" s="9" t="s">
        <v>3</v>
      </c>
      <c r="AA133" s="9" t="s">
        <v>3</v>
      </c>
      <c r="AB133" s="9" t="s">
        <v>78</v>
      </c>
      <c r="AC133" s="9" t="s">
        <v>79</v>
      </c>
      <c r="AD133" s="9" t="s">
        <v>11</v>
      </c>
      <c r="AE133" s="9" t="s">
        <v>11</v>
      </c>
      <c r="AF133" s="9" t="s">
        <v>3</v>
      </c>
      <c r="AG133" s="9" t="s">
        <v>3</v>
      </c>
      <c r="AH133" s="9" t="s">
        <v>3</v>
      </c>
      <c r="AJ133" s="9">
        <f t="shared" si="37"/>
        <v>20</v>
      </c>
      <c r="AK133" s="9">
        <f t="shared" si="38"/>
        <v>0</v>
      </c>
      <c r="AL133" s="9">
        <f t="shared" si="39"/>
        <v>0</v>
      </c>
      <c r="AM133" s="9">
        <f t="shared" si="40"/>
        <v>1</v>
      </c>
      <c r="AN133" s="9">
        <f t="shared" si="41"/>
        <v>0</v>
      </c>
      <c r="AO133" s="9">
        <f t="shared" si="42"/>
        <v>1</v>
      </c>
    </row>
    <row r="134" s="1" customFormat="1" outlineLevel="1" spans="2:41">
      <c r="B134" s="8" t="s">
        <v>16</v>
      </c>
      <c r="C134" s="8" t="s">
        <v>17</v>
      </c>
      <c r="D134" s="9" t="s">
        <v>3</v>
      </c>
      <c r="E134" s="9" t="s">
        <v>3</v>
      </c>
      <c r="F134" s="9" t="s">
        <v>3</v>
      </c>
      <c r="G134" s="9" t="s">
        <v>3</v>
      </c>
      <c r="H134" s="9" t="s">
        <v>3</v>
      </c>
      <c r="I134" s="9" t="s">
        <v>11</v>
      </c>
      <c r="J134" s="9" t="s">
        <v>11</v>
      </c>
      <c r="K134" s="9" t="s">
        <v>3</v>
      </c>
      <c r="L134" s="9" t="s">
        <v>3</v>
      </c>
      <c r="M134" s="9" t="s">
        <v>3</v>
      </c>
      <c r="N134" s="9" t="s">
        <v>3</v>
      </c>
      <c r="O134" s="9" t="s">
        <v>3</v>
      </c>
      <c r="P134" s="9" t="s">
        <v>3</v>
      </c>
      <c r="Q134" s="9" t="s">
        <v>11</v>
      </c>
      <c r="R134" s="9" t="s">
        <v>3</v>
      </c>
      <c r="S134" s="9" t="s">
        <v>3</v>
      </c>
      <c r="T134" s="9" t="s">
        <v>3</v>
      </c>
      <c r="U134" s="9" t="s">
        <v>3</v>
      </c>
      <c r="V134" s="9" t="s">
        <v>3</v>
      </c>
      <c r="W134" s="9" t="s">
        <v>11</v>
      </c>
      <c r="X134" s="9" t="s">
        <v>11</v>
      </c>
      <c r="Y134" s="9" t="s">
        <v>3</v>
      </c>
      <c r="Z134" s="9" t="s">
        <v>3</v>
      </c>
      <c r="AA134" s="9" t="s">
        <v>3</v>
      </c>
      <c r="AB134" s="9" t="s">
        <v>78</v>
      </c>
      <c r="AC134" s="9" t="s">
        <v>79</v>
      </c>
      <c r="AD134" s="9" t="s">
        <v>11</v>
      </c>
      <c r="AE134" s="9" t="s">
        <v>11</v>
      </c>
      <c r="AF134" s="9" t="s">
        <v>3</v>
      </c>
      <c r="AG134" s="9" t="s">
        <v>3</v>
      </c>
      <c r="AH134" s="9" t="s">
        <v>3</v>
      </c>
      <c r="AJ134" s="9">
        <f t="shared" si="37"/>
        <v>22</v>
      </c>
      <c r="AK134" s="9">
        <f t="shared" si="38"/>
        <v>0</v>
      </c>
      <c r="AL134" s="9">
        <f t="shared" si="39"/>
        <v>0</v>
      </c>
      <c r="AM134" s="9">
        <f t="shared" si="40"/>
        <v>0</v>
      </c>
      <c r="AN134" s="9">
        <f t="shared" si="41"/>
        <v>0</v>
      </c>
      <c r="AO134" s="9">
        <f t="shared" si="42"/>
        <v>0</v>
      </c>
    </row>
    <row r="135" s="1" customFormat="1" outlineLevel="1" spans="2:41">
      <c r="B135" s="8" t="s">
        <v>18</v>
      </c>
      <c r="C135" s="8" t="s">
        <v>15</v>
      </c>
      <c r="D135" s="9" t="s">
        <v>3</v>
      </c>
      <c r="E135" s="9" t="s">
        <v>3</v>
      </c>
      <c r="F135" s="9" t="s">
        <v>3</v>
      </c>
      <c r="G135" s="9" t="s">
        <v>3</v>
      </c>
      <c r="H135" s="9" t="s">
        <v>3</v>
      </c>
      <c r="I135" s="9" t="s">
        <v>11</v>
      </c>
      <c r="J135" s="9" t="s">
        <v>11</v>
      </c>
      <c r="K135" s="9" t="s">
        <v>3</v>
      </c>
      <c r="L135" s="9" t="s">
        <v>3</v>
      </c>
      <c r="M135" s="9" t="s">
        <v>3</v>
      </c>
      <c r="N135" s="9" t="s">
        <v>3</v>
      </c>
      <c r="O135" s="9" t="s">
        <v>3</v>
      </c>
      <c r="P135" s="9" t="s">
        <v>3</v>
      </c>
      <c r="Q135" s="9" t="s">
        <v>11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11</v>
      </c>
      <c r="X135" s="9" t="s">
        <v>11</v>
      </c>
      <c r="Y135" s="9" t="s">
        <v>3</v>
      </c>
      <c r="Z135" s="9" t="s">
        <v>3</v>
      </c>
      <c r="AA135" s="9" t="s">
        <v>5</v>
      </c>
      <c r="AB135" s="9" t="s">
        <v>78</v>
      </c>
      <c r="AC135" s="9" t="s">
        <v>79</v>
      </c>
      <c r="AD135" s="9" t="s">
        <v>11</v>
      </c>
      <c r="AE135" s="9" t="s">
        <v>11</v>
      </c>
      <c r="AF135" s="9" t="s">
        <v>3</v>
      </c>
      <c r="AG135" s="9" t="s">
        <v>3</v>
      </c>
      <c r="AH135" s="9" t="s">
        <v>5</v>
      </c>
      <c r="AJ135" s="9">
        <f t="shared" si="37"/>
        <v>20</v>
      </c>
      <c r="AK135" s="9">
        <f t="shared" si="38"/>
        <v>0</v>
      </c>
      <c r="AL135" s="9">
        <f t="shared" si="39"/>
        <v>2</v>
      </c>
      <c r="AM135" s="9">
        <f t="shared" si="40"/>
        <v>0</v>
      </c>
      <c r="AN135" s="9">
        <f t="shared" si="41"/>
        <v>0</v>
      </c>
      <c r="AO135" s="9">
        <f t="shared" si="42"/>
        <v>0</v>
      </c>
    </row>
    <row r="136" s="1" customFormat="1" outlineLevel="1" spans="2:41">
      <c r="B136" s="8" t="s">
        <v>19</v>
      </c>
      <c r="C136" s="8" t="s">
        <v>15</v>
      </c>
      <c r="D136" s="9" t="s">
        <v>3</v>
      </c>
      <c r="E136" s="9" t="s">
        <v>3</v>
      </c>
      <c r="F136" s="9" t="s">
        <v>3</v>
      </c>
      <c r="G136" s="9" t="s">
        <v>3</v>
      </c>
      <c r="H136" s="9" t="s">
        <v>3</v>
      </c>
      <c r="I136" s="9" t="s">
        <v>11</v>
      </c>
      <c r="J136" s="9" t="s">
        <v>11</v>
      </c>
      <c r="K136" s="9" t="s">
        <v>3</v>
      </c>
      <c r="L136" s="9" t="s">
        <v>3</v>
      </c>
      <c r="M136" s="9" t="s">
        <v>3</v>
      </c>
      <c r="N136" s="9" t="s">
        <v>3</v>
      </c>
      <c r="O136" s="9" t="s">
        <v>3</v>
      </c>
      <c r="P136" s="9" t="s">
        <v>3</v>
      </c>
      <c r="Q136" s="9" t="s">
        <v>11</v>
      </c>
      <c r="R136" s="9" t="s">
        <v>3</v>
      </c>
      <c r="S136" s="9" t="s">
        <v>3</v>
      </c>
      <c r="T136" s="9" t="s">
        <v>3</v>
      </c>
      <c r="U136" s="9" t="s">
        <v>4</v>
      </c>
      <c r="V136" s="9" t="s">
        <v>4</v>
      </c>
      <c r="W136" s="9" t="s">
        <v>4</v>
      </c>
      <c r="X136" s="9" t="s">
        <v>4</v>
      </c>
      <c r="Y136" s="9" t="s">
        <v>4</v>
      </c>
      <c r="Z136" s="9" t="s">
        <v>4</v>
      </c>
      <c r="AA136" s="9" t="s">
        <v>4</v>
      </c>
      <c r="AB136" s="9" t="s">
        <v>4</v>
      </c>
      <c r="AC136" s="9" t="s">
        <v>4</v>
      </c>
      <c r="AD136" s="9" t="s">
        <v>4</v>
      </c>
      <c r="AE136" s="9" t="s">
        <v>4</v>
      </c>
      <c r="AF136" s="9" t="s">
        <v>4</v>
      </c>
      <c r="AG136" s="9" t="s">
        <v>4</v>
      </c>
      <c r="AH136" s="9" t="s">
        <v>4</v>
      </c>
      <c r="AJ136" s="9">
        <f t="shared" si="37"/>
        <v>14</v>
      </c>
      <c r="AK136" s="9">
        <f t="shared" si="38"/>
        <v>14</v>
      </c>
      <c r="AL136" s="9">
        <f t="shared" si="39"/>
        <v>0</v>
      </c>
      <c r="AM136" s="9">
        <f t="shared" si="40"/>
        <v>0</v>
      </c>
      <c r="AN136" s="9">
        <f t="shared" si="41"/>
        <v>0</v>
      </c>
      <c r="AO136" s="9">
        <f t="shared" si="42"/>
        <v>0</v>
      </c>
    </row>
    <row r="137" s="1" customFormat="1" outlineLevel="1" spans="2:41">
      <c r="B137" s="8" t="s">
        <v>20</v>
      </c>
      <c r="C137" s="8" t="s">
        <v>21</v>
      </c>
      <c r="D137" s="9" t="s">
        <v>6</v>
      </c>
      <c r="E137" s="9" t="s">
        <v>3</v>
      </c>
      <c r="F137" s="9" t="s">
        <v>3</v>
      </c>
      <c r="G137" s="9" t="s">
        <v>3</v>
      </c>
      <c r="H137" s="9" t="s">
        <v>6</v>
      </c>
      <c r="I137" s="9" t="s">
        <v>11</v>
      </c>
      <c r="J137" s="9" t="s">
        <v>11</v>
      </c>
      <c r="K137" s="9" t="s">
        <v>6</v>
      </c>
      <c r="L137" s="9" t="s">
        <v>3</v>
      </c>
      <c r="M137" s="9" t="s">
        <v>3</v>
      </c>
      <c r="N137" s="9" t="s">
        <v>3</v>
      </c>
      <c r="O137" s="9" t="s">
        <v>3</v>
      </c>
      <c r="P137" s="9" t="s">
        <v>3</v>
      </c>
      <c r="Q137" s="9" t="s">
        <v>11</v>
      </c>
      <c r="R137" s="9" t="s">
        <v>3</v>
      </c>
      <c r="S137" s="9" t="s">
        <v>6</v>
      </c>
      <c r="T137" s="9" t="s">
        <v>6</v>
      </c>
      <c r="U137" s="9" t="s">
        <v>8</v>
      </c>
      <c r="V137" s="9" t="s">
        <v>3</v>
      </c>
      <c r="W137" s="9" t="s">
        <v>11</v>
      </c>
      <c r="X137" s="9" t="s">
        <v>11</v>
      </c>
      <c r="Y137" s="9" t="s">
        <v>3</v>
      </c>
      <c r="Z137" s="9" t="s">
        <v>3</v>
      </c>
      <c r="AA137" s="9" t="s">
        <v>3</v>
      </c>
      <c r="AB137" s="9" t="s">
        <v>78</v>
      </c>
      <c r="AC137" s="9" t="s">
        <v>79</v>
      </c>
      <c r="AD137" s="9" t="s">
        <v>11</v>
      </c>
      <c r="AE137" s="9" t="s">
        <v>11</v>
      </c>
      <c r="AF137" s="9" t="s">
        <v>3</v>
      </c>
      <c r="AG137" s="9" t="s">
        <v>3</v>
      </c>
      <c r="AH137" s="9" t="s">
        <v>3</v>
      </c>
      <c r="AJ137" s="9">
        <f t="shared" si="37"/>
        <v>16</v>
      </c>
      <c r="AK137" s="9">
        <f t="shared" si="38"/>
        <v>0</v>
      </c>
      <c r="AL137" s="9">
        <f t="shared" si="39"/>
        <v>0</v>
      </c>
      <c r="AM137" s="9">
        <f t="shared" si="40"/>
        <v>5</v>
      </c>
      <c r="AN137" s="9">
        <f t="shared" si="41"/>
        <v>0</v>
      </c>
      <c r="AO137" s="9">
        <f t="shared" si="42"/>
        <v>1</v>
      </c>
    </row>
    <row r="138" s="1" customFormat="1" outlineLevel="1" spans="2:41">
      <c r="B138" s="8" t="s">
        <v>22</v>
      </c>
      <c r="C138" s="8" t="s">
        <v>15</v>
      </c>
      <c r="D138" s="9" t="s">
        <v>6</v>
      </c>
      <c r="E138" s="9" t="s">
        <v>3</v>
      </c>
      <c r="F138" s="9" t="s">
        <v>3</v>
      </c>
      <c r="G138" s="9" t="s">
        <v>6</v>
      </c>
      <c r="H138" s="9" t="s">
        <v>3</v>
      </c>
      <c r="I138" s="9" t="s">
        <v>11</v>
      </c>
      <c r="J138" s="9" t="s">
        <v>11</v>
      </c>
      <c r="K138" s="9" t="s">
        <v>3</v>
      </c>
      <c r="L138" s="9" t="s">
        <v>3</v>
      </c>
      <c r="M138" s="9" t="s">
        <v>3</v>
      </c>
      <c r="N138" s="9" t="s">
        <v>3</v>
      </c>
      <c r="O138" s="9" t="s">
        <v>3</v>
      </c>
      <c r="P138" s="9" t="s">
        <v>6</v>
      </c>
      <c r="Q138" s="9" t="s">
        <v>11</v>
      </c>
      <c r="R138" s="9" t="s">
        <v>3</v>
      </c>
      <c r="S138" s="9" t="s">
        <v>3</v>
      </c>
      <c r="T138" s="9" t="s">
        <v>3</v>
      </c>
      <c r="U138" s="9" t="s">
        <v>3</v>
      </c>
      <c r="V138" s="9" t="s">
        <v>3</v>
      </c>
      <c r="W138" s="9" t="s">
        <v>11</v>
      </c>
      <c r="X138" s="9" t="s">
        <v>11</v>
      </c>
      <c r="Y138" s="9" t="s">
        <v>3</v>
      </c>
      <c r="Z138" s="9" t="s">
        <v>3</v>
      </c>
      <c r="AA138" s="9" t="s">
        <v>3</v>
      </c>
      <c r="AB138" s="9" t="s">
        <v>78</v>
      </c>
      <c r="AC138" s="9" t="s">
        <v>79</v>
      </c>
      <c r="AD138" s="9" t="s">
        <v>11</v>
      </c>
      <c r="AE138" s="9" t="s">
        <v>11</v>
      </c>
      <c r="AF138" s="9" t="s">
        <v>3</v>
      </c>
      <c r="AG138" s="9" t="s">
        <v>3</v>
      </c>
      <c r="AH138" s="9" t="s">
        <v>3</v>
      </c>
      <c r="AJ138" s="9">
        <f t="shared" si="37"/>
        <v>19</v>
      </c>
      <c r="AK138" s="9">
        <f t="shared" si="38"/>
        <v>0</v>
      </c>
      <c r="AL138" s="9">
        <f t="shared" si="39"/>
        <v>0</v>
      </c>
      <c r="AM138" s="9">
        <f t="shared" si="40"/>
        <v>3</v>
      </c>
      <c r="AN138" s="9">
        <f t="shared" si="41"/>
        <v>0</v>
      </c>
      <c r="AO138" s="9">
        <f t="shared" si="42"/>
        <v>0</v>
      </c>
    </row>
    <row r="139" s="1" customFormat="1" outlineLevel="1" spans="2:41">
      <c r="B139" s="8" t="s">
        <v>23</v>
      </c>
      <c r="C139" s="8" t="s">
        <v>13</v>
      </c>
      <c r="D139" s="9" t="s">
        <v>7</v>
      </c>
      <c r="E139" s="9" t="s">
        <v>3</v>
      </c>
      <c r="F139" s="9" t="s">
        <v>6</v>
      </c>
      <c r="G139" s="9" t="s">
        <v>3</v>
      </c>
      <c r="H139" s="9" t="s">
        <v>3</v>
      </c>
      <c r="I139" s="9" t="s">
        <v>11</v>
      </c>
      <c r="J139" s="9" t="s">
        <v>11</v>
      </c>
      <c r="K139" s="9" t="s">
        <v>3</v>
      </c>
      <c r="L139" s="9" t="s">
        <v>3</v>
      </c>
      <c r="M139" s="9" t="s">
        <v>3</v>
      </c>
      <c r="N139" s="9" t="s">
        <v>7</v>
      </c>
      <c r="O139" s="9" t="s">
        <v>3</v>
      </c>
      <c r="P139" s="9" t="s">
        <v>3</v>
      </c>
      <c r="Q139" s="9" t="s">
        <v>11</v>
      </c>
      <c r="R139" s="9" t="s">
        <v>3</v>
      </c>
      <c r="S139" s="9" t="s">
        <v>3</v>
      </c>
      <c r="T139" s="9" t="s">
        <v>3</v>
      </c>
      <c r="U139" s="9" t="s">
        <v>3</v>
      </c>
      <c r="V139" s="9" t="s">
        <v>3</v>
      </c>
      <c r="W139" s="9" t="s">
        <v>11</v>
      </c>
      <c r="X139" s="9" t="s">
        <v>11</v>
      </c>
      <c r="Y139" s="9" t="s">
        <v>3</v>
      </c>
      <c r="Z139" s="9" t="s">
        <v>3</v>
      </c>
      <c r="AA139" s="9" t="s">
        <v>3</v>
      </c>
      <c r="AB139" s="9" t="s">
        <v>78</v>
      </c>
      <c r="AC139" s="9" t="s">
        <v>78</v>
      </c>
      <c r="AD139" s="9" t="s">
        <v>11</v>
      </c>
      <c r="AE139" s="9" t="s">
        <v>11</v>
      </c>
      <c r="AF139" s="9" t="s">
        <v>3</v>
      </c>
      <c r="AG139" s="9" t="s">
        <v>3</v>
      </c>
      <c r="AH139" s="9" t="s">
        <v>3</v>
      </c>
      <c r="AJ139" s="9">
        <f t="shared" si="37"/>
        <v>19</v>
      </c>
      <c r="AK139" s="9">
        <f t="shared" si="38"/>
        <v>0</v>
      </c>
      <c r="AL139" s="9">
        <f t="shared" si="39"/>
        <v>0</v>
      </c>
      <c r="AM139" s="9">
        <f t="shared" si="40"/>
        <v>1</v>
      </c>
      <c r="AN139" s="9">
        <f t="shared" si="41"/>
        <v>2</v>
      </c>
      <c r="AO139" s="9">
        <f t="shared" si="42"/>
        <v>0</v>
      </c>
    </row>
    <row r="140" s="1" customFormat="1" outlineLevel="1" spans="2:41">
      <c r="B140" s="8" t="s">
        <v>24</v>
      </c>
      <c r="C140" s="8" t="s">
        <v>13</v>
      </c>
      <c r="D140" s="9" t="s">
        <v>3</v>
      </c>
      <c r="E140" s="9" t="s">
        <v>3</v>
      </c>
      <c r="F140" s="9" t="s">
        <v>3</v>
      </c>
      <c r="G140" s="9" t="s">
        <v>3</v>
      </c>
      <c r="H140" s="9" t="s">
        <v>3</v>
      </c>
      <c r="I140" s="9" t="s">
        <v>11</v>
      </c>
      <c r="J140" s="9" t="s">
        <v>11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9" t="s">
        <v>11</v>
      </c>
      <c r="R140" s="9" t="s">
        <v>3</v>
      </c>
      <c r="S140" s="9" t="s">
        <v>3</v>
      </c>
      <c r="T140" s="9" t="s">
        <v>3</v>
      </c>
      <c r="U140" s="9" t="s">
        <v>3</v>
      </c>
      <c r="V140" s="9" t="s">
        <v>3</v>
      </c>
      <c r="W140" s="9" t="s">
        <v>11</v>
      </c>
      <c r="X140" s="9" t="s">
        <v>11</v>
      </c>
      <c r="Y140" s="9" t="s">
        <v>3</v>
      </c>
      <c r="Z140" s="9" t="s">
        <v>3</v>
      </c>
      <c r="AA140" s="9" t="s">
        <v>3</v>
      </c>
      <c r="AB140" s="9" t="s">
        <v>78</v>
      </c>
      <c r="AC140" s="9" t="s">
        <v>78</v>
      </c>
      <c r="AD140" s="9" t="s">
        <v>11</v>
      </c>
      <c r="AE140" s="9" t="s">
        <v>11</v>
      </c>
      <c r="AF140" s="9" t="s">
        <v>3</v>
      </c>
      <c r="AG140" s="9" t="s">
        <v>3</v>
      </c>
      <c r="AH140" s="9" t="s">
        <v>3</v>
      </c>
      <c r="AJ140" s="9">
        <f t="shared" si="37"/>
        <v>22</v>
      </c>
      <c r="AK140" s="9">
        <f t="shared" si="38"/>
        <v>0</v>
      </c>
      <c r="AL140" s="9">
        <f t="shared" si="39"/>
        <v>0</v>
      </c>
      <c r="AM140" s="9">
        <f t="shared" si="40"/>
        <v>0</v>
      </c>
      <c r="AN140" s="9">
        <f t="shared" si="41"/>
        <v>0</v>
      </c>
      <c r="AO140" s="9">
        <f t="shared" si="42"/>
        <v>0</v>
      </c>
    </row>
    <row r="141" s="1" customFormat="1" outlineLevel="1" spans="2:41">
      <c r="B141" s="8" t="s">
        <v>25</v>
      </c>
      <c r="C141" s="8" t="s">
        <v>13</v>
      </c>
      <c r="D141" s="9" t="s">
        <v>4</v>
      </c>
      <c r="E141" s="9" t="s">
        <v>4</v>
      </c>
      <c r="F141" s="9" t="s">
        <v>4</v>
      </c>
      <c r="G141" s="9" t="s">
        <v>4</v>
      </c>
      <c r="H141" s="9" t="s">
        <v>4</v>
      </c>
      <c r="I141" s="9" t="s">
        <v>4</v>
      </c>
      <c r="J141" s="9" t="s">
        <v>4</v>
      </c>
      <c r="K141" s="9" t="s">
        <v>4</v>
      </c>
      <c r="L141" s="9" t="s">
        <v>4</v>
      </c>
      <c r="M141" s="9" t="s">
        <v>4</v>
      </c>
      <c r="N141" s="9" t="s">
        <v>4</v>
      </c>
      <c r="O141" s="9" t="s">
        <v>4</v>
      </c>
      <c r="P141" s="9" t="s">
        <v>4</v>
      </c>
      <c r="Q141" s="9" t="s">
        <v>4</v>
      </c>
      <c r="R141" s="9" t="s">
        <v>4</v>
      </c>
      <c r="S141" s="9" t="s">
        <v>4</v>
      </c>
      <c r="T141" s="9" t="s">
        <v>3</v>
      </c>
      <c r="U141" s="9" t="s">
        <v>3</v>
      </c>
      <c r="V141" s="9" t="s">
        <v>3</v>
      </c>
      <c r="W141" s="9" t="s">
        <v>11</v>
      </c>
      <c r="X141" s="9" t="s">
        <v>11</v>
      </c>
      <c r="Y141" s="9" t="s">
        <v>6</v>
      </c>
      <c r="Z141" s="9" t="s">
        <v>6</v>
      </c>
      <c r="AA141" s="9" t="s">
        <v>6</v>
      </c>
      <c r="AB141" s="9" t="s">
        <v>6</v>
      </c>
      <c r="AC141" s="9" t="s">
        <v>6</v>
      </c>
      <c r="AD141" s="9" t="s">
        <v>6</v>
      </c>
      <c r="AE141" s="9" t="s">
        <v>6</v>
      </c>
      <c r="AF141" s="9" t="s">
        <v>6</v>
      </c>
      <c r="AG141" s="9" t="s">
        <v>6</v>
      </c>
      <c r="AH141" s="9" t="s">
        <v>6</v>
      </c>
      <c r="AJ141" s="9">
        <f t="shared" si="37"/>
        <v>3</v>
      </c>
      <c r="AK141" s="9">
        <f t="shared" si="38"/>
        <v>16</v>
      </c>
      <c r="AL141" s="9">
        <f t="shared" si="39"/>
        <v>0</v>
      </c>
      <c r="AM141" s="9">
        <f t="shared" si="40"/>
        <v>10</v>
      </c>
      <c r="AN141" s="9">
        <f t="shared" si="41"/>
        <v>0</v>
      </c>
      <c r="AO141" s="9">
        <f t="shared" si="42"/>
        <v>0</v>
      </c>
    </row>
    <row r="142" s="1" customFormat="1" outlineLevel="1" spans="2:41">
      <c r="B142" s="8" t="s">
        <v>26</v>
      </c>
      <c r="C142" s="8" t="s">
        <v>17</v>
      </c>
      <c r="D142" s="9" t="s">
        <v>3</v>
      </c>
      <c r="E142" s="9" t="s">
        <v>3</v>
      </c>
      <c r="F142" s="9" t="s">
        <v>3</v>
      </c>
      <c r="G142" s="9" t="s">
        <v>3</v>
      </c>
      <c r="H142" s="9" t="s">
        <v>3</v>
      </c>
      <c r="I142" s="9" t="s">
        <v>11</v>
      </c>
      <c r="J142" s="9" t="s">
        <v>11</v>
      </c>
      <c r="K142" s="9" t="s">
        <v>3</v>
      </c>
      <c r="L142" s="9" t="s">
        <v>3</v>
      </c>
      <c r="M142" s="9" t="s">
        <v>3</v>
      </c>
      <c r="N142" s="9" t="s">
        <v>3</v>
      </c>
      <c r="O142" s="9" t="s">
        <v>3</v>
      </c>
      <c r="P142" s="9" t="s">
        <v>3</v>
      </c>
      <c r="Q142" s="9" t="s">
        <v>11</v>
      </c>
      <c r="R142" s="9" t="s">
        <v>3</v>
      </c>
      <c r="S142" s="9" t="s">
        <v>3</v>
      </c>
      <c r="T142" s="9" t="s">
        <v>3</v>
      </c>
      <c r="U142" s="9" t="s">
        <v>3</v>
      </c>
      <c r="V142" s="9" t="s">
        <v>3</v>
      </c>
      <c r="W142" s="9" t="s">
        <v>11</v>
      </c>
      <c r="X142" s="9" t="s">
        <v>11</v>
      </c>
      <c r="Y142" s="9" t="s">
        <v>3</v>
      </c>
      <c r="Z142" s="9" t="s">
        <v>3</v>
      </c>
      <c r="AA142" s="9" t="s">
        <v>3</v>
      </c>
      <c r="AB142" s="9" t="s">
        <v>78</v>
      </c>
      <c r="AC142" s="9" t="s">
        <v>79</v>
      </c>
      <c r="AD142" s="9" t="s">
        <v>11</v>
      </c>
      <c r="AE142" s="9" t="s">
        <v>11</v>
      </c>
      <c r="AF142" s="9" t="s">
        <v>3</v>
      </c>
      <c r="AG142" s="9" t="s">
        <v>3</v>
      </c>
      <c r="AH142" s="9" t="s">
        <v>3</v>
      </c>
      <c r="AJ142" s="9">
        <f t="shared" si="37"/>
        <v>22</v>
      </c>
      <c r="AK142" s="9">
        <f t="shared" si="38"/>
        <v>0</v>
      </c>
      <c r="AL142" s="9">
        <f t="shared" si="39"/>
        <v>0</v>
      </c>
      <c r="AM142" s="9">
        <f t="shared" si="40"/>
        <v>0</v>
      </c>
      <c r="AN142" s="9">
        <f t="shared" si="41"/>
        <v>0</v>
      </c>
      <c r="AO142" s="9">
        <f t="shared" si="42"/>
        <v>0</v>
      </c>
    </row>
    <row r="143" s="1" customFormat="1" outlineLevel="1" spans="2:41">
      <c r="B143" s="8" t="s">
        <v>27</v>
      </c>
      <c r="C143" s="8" t="s">
        <v>10</v>
      </c>
      <c r="D143" s="9"/>
      <c r="E143" s="9"/>
      <c r="F143" s="9"/>
      <c r="G143" s="9"/>
      <c r="H143" s="9"/>
      <c r="I143" s="9" t="s">
        <v>11</v>
      </c>
      <c r="J143" s="9" t="s">
        <v>11</v>
      </c>
      <c r="K143" s="9" t="s">
        <v>3</v>
      </c>
      <c r="L143" s="9" t="s">
        <v>3</v>
      </c>
      <c r="M143" s="9" t="s">
        <v>3</v>
      </c>
      <c r="N143" s="9" t="s">
        <v>3</v>
      </c>
      <c r="O143" s="9" t="s">
        <v>3</v>
      </c>
      <c r="P143" s="9" t="s">
        <v>6</v>
      </c>
      <c r="Q143" s="9" t="s">
        <v>11</v>
      </c>
      <c r="R143" s="9" t="s">
        <v>3</v>
      </c>
      <c r="S143" s="9" t="s">
        <v>3</v>
      </c>
      <c r="T143" s="9" t="s">
        <v>3</v>
      </c>
      <c r="U143" s="9" t="s">
        <v>3</v>
      </c>
      <c r="V143" s="9" t="s">
        <v>3</v>
      </c>
      <c r="W143" s="9" t="s">
        <v>11</v>
      </c>
      <c r="X143" s="9" t="s">
        <v>11</v>
      </c>
      <c r="Y143" s="9" t="s">
        <v>3</v>
      </c>
      <c r="Z143" s="9" t="s">
        <v>3</v>
      </c>
      <c r="AA143" s="9"/>
      <c r="AB143" s="47" t="s">
        <v>78</v>
      </c>
      <c r="AC143" s="47" t="s">
        <v>79</v>
      </c>
      <c r="AD143" s="9" t="s">
        <v>11</v>
      </c>
      <c r="AE143" s="9" t="s">
        <v>11</v>
      </c>
      <c r="AF143" s="9" t="s">
        <v>3</v>
      </c>
      <c r="AG143" s="9" t="s">
        <v>3</v>
      </c>
      <c r="AH143" s="9"/>
      <c r="AJ143" s="9">
        <f t="shared" si="37"/>
        <v>14</v>
      </c>
      <c r="AK143" s="9">
        <f t="shared" si="38"/>
        <v>0</v>
      </c>
      <c r="AL143" s="9">
        <f t="shared" si="39"/>
        <v>0</v>
      </c>
      <c r="AM143" s="9">
        <f t="shared" si="40"/>
        <v>1</v>
      </c>
      <c r="AN143" s="9">
        <f t="shared" si="41"/>
        <v>0</v>
      </c>
      <c r="AO143" s="9">
        <f t="shared" si="42"/>
        <v>0</v>
      </c>
    </row>
    <row r="144" s="1" customFormat="1" outlineLevel="1" spans="2:41">
      <c r="B144" s="8" t="s">
        <v>28</v>
      </c>
      <c r="C144" s="8" t="s">
        <v>13</v>
      </c>
      <c r="D144" s="9" t="s">
        <v>3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11</v>
      </c>
      <c r="J144" s="9" t="s">
        <v>11</v>
      </c>
      <c r="K144" s="9" t="s">
        <v>3</v>
      </c>
      <c r="L144" s="9" t="s">
        <v>3</v>
      </c>
      <c r="M144" s="9" t="s">
        <v>3</v>
      </c>
      <c r="N144" s="9" t="s">
        <v>3</v>
      </c>
      <c r="O144" s="9" t="s">
        <v>3</v>
      </c>
      <c r="P144" s="9" t="s">
        <v>3</v>
      </c>
      <c r="Q144" s="9" t="s">
        <v>11</v>
      </c>
      <c r="R144" s="9" t="s">
        <v>3</v>
      </c>
      <c r="S144" s="9" t="s">
        <v>3</v>
      </c>
      <c r="T144" s="9" t="s">
        <v>3</v>
      </c>
      <c r="U144" s="9" t="s">
        <v>3</v>
      </c>
      <c r="V144" s="9" t="s">
        <v>3</v>
      </c>
      <c r="W144" s="9" t="s">
        <v>11</v>
      </c>
      <c r="X144" s="9" t="s">
        <v>11</v>
      </c>
      <c r="Y144" s="9" t="s">
        <v>3</v>
      </c>
      <c r="Z144" s="9" t="s">
        <v>3</v>
      </c>
      <c r="AA144" s="9" t="s">
        <v>3</v>
      </c>
      <c r="AB144" s="9" t="s">
        <v>78</v>
      </c>
      <c r="AC144" s="9" t="s">
        <v>78</v>
      </c>
      <c r="AD144" s="9" t="s">
        <v>11</v>
      </c>
      <c r="AE144" s="9" t="s">
        <v>11</v>
      </c>
      <c r="AF144" s="9" t="s">
        <v>3</v>
      </c>
      <c r="AG144" s="9" t="s">
        <v>3</v>
      </c>
      <c r="AH144" s="9" t="s">
        <v>3</v>
      </c>
      <c r="AJ144" s="9">
        <f t="shared" si="37"/>
        <v>22</v>
      </c>
      <c r="AK144" s="9">
        <f t="shared" si="38"/>
        <v>0</v>
      </c>
      <c r="AL144" s="9">
        <f t="shared" si="39"/>
        <v>0</v>
      </c>
      <c r="AM144" s="9">
        <f t="shared" si="40"/>
        <v>0</v>
      </c>
      <c r="AN144" s="9">
        <f t="shared" si="41"/>
        <v>0</v>
      </c>
      <c r="AO144" s="9">
        <f t="shared" si="42"/>
        <v>0</v>
      </c>
    </row>
    <row r="145" s="1" customFormat="1" outlineLevel="1" spans="2:41">
      <c r="B145" s="8" t="s">
        <v>29</v>
      </c>
      <c r="C145" s="8" t="s">
        <v>17</v>
      </c>
      <c r="D145" s="9" t="s">
        <v>3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11</v>
      </c>
      <c r="J145" s="9" t="s">
        <v>11</v>
      </c>
      <c r="K145" s="9" t="s">
        <v>3</v>
      </c>
      <c r="L145" s="9" t="s">
        <v>3</v>
      </c>
      <c r="M145" s="9" t="s">
        <v>3</v>
      </c>
      <c r="N145" s="9" t="s">
        <v>3</v>
      </c>
      <c r="O145" s="9" t="s">
        <v>3</v>
      </c>
      <c r="P145" s="9" t="s">
        <v>3</v>
      </c>
      <c r="Q145" s="9" t="s">
        <v>11</v>
      </c>
      <c r="R145" s="9" t="s">
        <v>3</v>
      </c>
      <c r="S145" s="9" t="s">
        <v>3</v>
      </c>
      <c r="T145" s="9" t="s">
        <v>3</v>
      </c>
      <c r="U145" s="9" t="s">
        <v>3</v>
      </c>
      <c r="V145" s="9" t="s">
        <v>3</v>
      </c>
      <c r="W145" s="9" t="s">
        <v>11</v>
      </c>
      <c r="X145" s="9" t="s">
        <v>11</v>
      </c>
      <c r="Y145" s="9" t="s">
        <v>3</v>
      </c>
      <c r="Z145" s="9" t="s">
        <v>3</v>
      </c>
      <c r="AA145" s="9" t="s">
        <v>3</v>
      </c>
      <c r="AB145" s="9" t="s">
        <v>78</v>
      </c>
      <c r="AC145" s="9" t="s">
        <v>79</v>
      </c>
      <c r="AD145" s="9" t="s">
        <v>11</v>
      </c>
      <c r="AE145" s="9" t="s">
        <v>11</v>
      </c>
      <c r="AF145" s="9" t="s">
        <v>7</v>
      </c>
      <c r="AG145" s="9" t="s">
        <v>3</v>
      </c>
      <c r="AH145" s="9" t="s">
        <v>3</v>
      </c>
      <c r="AJ145" s="9">
        <f t="shared" si="37"/>
        <v>21</v>
      </c>
      <c r="AK145" s="9">
        <f t="shared" si="38"/>
        <v>0</v>
      </c>
      <c r="AL145" s="9">
        <f t="shared" si="39"/>
        <v>0</v>
      </c>
      <c r="AM145" s="9">
        <f t="shared" si="40"/>
        <v>0</v>
      </c>
      <c r="AN145" s="9">
        <f t="shared" si="41"/>
        <v>1</v>
      </c>
      <c r="AO145" s="9">
        <f t="shared" si="42"/>
        <v>0</v>
      </c>
    </row>
    <row r="146" s="1" customFormat="1" outlineLevel="1" spans="2:41">
      <c r="B146" s="8" t="s">
        <v>30</v>
      </c>
      <c r="C146" s="8" t="s">
        <v>13</v>
      </c>
      <c r="D146" s="9" t="s">
        <v>3</v>
      </c>
      <c r="E146" s="9" t="s">
        <v>3</v>
      </c>
      <c r="F146" s="9" t="s">
        <v>3</v>
      </c>
      <c r="G146" s="9" t="s">
        <v>3</v>
      </c>
      <c r="H146" s="9" t="s">
        <v>3</v>
      </c>
      <c r="I146" s="9" t="s">
        <v>11</v>
      </c>
      <c r="J146" s="9" t="s">
        <v>11</v>
      </c>
      <c r="K146" s="9" t="s">
        <v>3</v>
      </c>
      <c r="L146" s="9" t="s">
        <v>3</v>
      </c>
      <c r="M146" s="9" t="s">
        <v>3</v>
      </c>
      <c r="N146" s="9" t="s">
        <v>3</v>
      </c>
      <c r="O146" s="9" t="s">
        <v>3</v>
      </c>
      <c r="P146" s="9" t="s">
        <v>3</v>
      </c>
      <c r="Q146" s="9" t="s">
        <v>11</v>
      </c>
      <c r="R146" s="9" t="s">
        <v>3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11</v>
      </c>
      <c r="X146" s="9" t="s">
        <v>11</v>
      </c>
      <c r="Y146" s="9" t="s">
        <v>3</v>
      </c>
      <c r="Z146" s="9" t="s">
        <v>3</v>
      </c>
      <c r="AA146" s="9" t="s">
        <v>3</v>
      </c>
      <c r="AB146" s="9" t="s">
        <v>78</v>
      </c>
      <c r="AC146" s="9" t="s">
        <v>78</v>
      </c>
      <c r="AD146" s="9" t="s">
        <v>11</v>
      </c>
      <c r="AE146" s="9" t="s">
        <v>11</v>
      </c>
      <c r="AF146" s="9" t="s">
        <v>3</v>
      </c>
      <c r="AG146" s="9" t="s">
        <v>3</v>
      </c>
      <c r="AH146" s="9" t="s">
        <v>3</v>
      </c>
      <c r="AJ146" s="9">
        <f t="shared" si="37"/>
        <v>22</v>
      </c>
      <c r="AK146" s="9">
        <f t="shared" si="38"/>
        <v>0</v>
      </c>
      <c r="AL146" s="9">
        <f t="shared" si="39"/>
        <v>0</v>
      </c>
      <c r="AM146" s="9">
        <f t="shared" si="40"/>
        <v>0</v>
      </c>
      <c r="AN146" s="9">
        <f t="shared" si="41"/>
        <v>0</v>
      </c>
      <c r="AO146" s="9">
        <f t="shared" si="42"/>
        <v>0</v>
      </c>
    </row>
    <row r="147" s="1" customFormat="1" outlineLevel="1" spans="2:41">
      <c r="B147" s="8" t="s">
        <v>31</v>
      </c>
      <c r="C147" s="8" t="s">
        <v>10</v>
      </c>
      <c r="D147" s="9" t="s">
        <v>3</v>
      </c>
      <c r="E147" s="9" t="s">
        <v>3</v>
      </c>
      <c r="F147" s="9" t="s">
        <v>3</v>
      </c>
      <c r="G147" s="9" t="s">
        <v>3</v>
      </c>
      <c r="H147" s="9" t="s">
        <v>3</v>
      </c>
      <c r="I147" s="9" t="s">
        <v>11</v>
      </c>
      <c r="J147" s="9" t="s">
        <v>11</v>
      </c>
      <c r="K147" s="9" t="s">
        <v>3</v>
      </c>
      <c r="L147" s="9" t="s">
        <v>3</v>
      </c>
      <c r="M147" s="9" t="s">
        <v>3</v>
      </c>
      <c r="N147" s="9" t="s">
        <v>3</v>
      </c>
      <c r="O147" s="9" t="s">
        <v>3</v>
      </c>
      <c r="P147" s="9" t="s">
        <v>5</v>
      </c>
      <c r="Q147" s="9" t="s">
        <v>11</v>
      </c>
      <c r="R147" s="9" t="s">
        <v>3</v>
      </c>
      <c r="S147" s="9" t="s">
        <v>3</v>
      </c>
      <c r="T147" s="9" t="s">
        <v>3</v>
      </c>
      <c r="U147" s="9" t="s">
        <v>3</v>
      </c>
      <c r="V147" s="9" t="s">
        <v>3</v>
      </c>
      <c r="W147" s="9" t="s">
        <v>11</v>
      </c>
      <c r="X147" s="9" t="s">
        <v>11</v>
      </c>
      <c r="Y147" s="9" t="s">
        <v>3</v>
      </c>
      <c r="Z147" s="9" t="s">
        <v>8</v>
      </c>
      <c r="AA147" s="9"/>
      <c r="AB147" s="47" t="s">
        <v>78</v>
      </c>
      <c r="AC147" s="47" t="s">
        <v>79</v>
      </c>
      <c r="AD147" s="9" t="s">
        <v>11</v>
      </c>
      <c r="AE147" s="9" t="s">
        <v>11</v>
      </c>
      <c r="AF147" s="9" t="s">
        <v>3</v>
      </c>
      <c r="AG147" s="9" t="s">
        <v>8</v>
      </c>
      <c r="AH147" s="9"/>
      <c r="AJ147" s="9">
        <f t="shared" si="37"/>
        <v>17</v>
      </c>
      <c r="AK147" s="9">
        <f t="shared" si="38"/>
        <v>0</v>
      </c>
      <c r="AL147" s="9">
        <f t="shared" si="39"/>
        <v>1</v>
      </c>
      <c r="AM147" s="9">
        <f t="shared" si="40"/>
        <v>0</v>
      </c>
      <c r="AN147" s="9">
        <f t="shared" si="41"/>
        <v>0</v>
      </c>
      <c r="AO147" s="9">
        <f t="shared" si="42"/>
        <v>2</v>
      </c>
    </row>
    <row r="148" s="1" customFormat="1" outlineLevel="1" spans="2:41">
      <c r="B148" s="8" t="s">
        <v>32</v>
      </c>
      <c r="C148" s="8" t="s">
        <v>10</v>
      </c>
      <c r="D148" s="9" t="s">
        <v>6</v>
      </c>
      <c r="E148" s="9" t="s">
        <v>6</v>
      </c>
      <c r="F148" s="9" t="s">
        <v>6</v>
      </c>
      <c r="G148" s="9" t="s">
        <v>6</v>
      </c>
      <c r="H148" s="9" t="s">
        <v>6</v>
      </c>
      <c r="I148" s="9" t="s">
        <v>11</v>
      </c>
      <c r="J148" s="9" t="s">
        <v>11</v>
      </c>
      <c r="K148" s="9" t="s">
        <v>3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9" t="s">
        <v>11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11</v>
      </c>
      <c r="X148" s="9" t="s">
        <v>11</v>
      </c>
      <c r="Y148" s="9" t="s">
        <v>3</v>
      </c>
      <c r="Z148" s="9" t="s">
        <v>3</v>
      </c>
      <c r="AA148" s="9" t="s">
        <v>5</v>
      </c>
      <c r="AB148" s="47" t="s">
        <v>78</v>
      </c>
      <c r="AC148" s="47" t="s">
        <v>79</v>
      </c>
      <c r="AD148" s="9" t="s">
        <v>11</v>
      </c>
      <c r="AE148" s="9" t="s">
        <v>11</v>
      </c>
      <c r="AF148" s="9" t="s">
        <v>3</v>
      </c>
      <c r="AG148" s="9" t="s">
        <v>3</v>
      </c>
      <c r="AH148" s="9" t="s">
        <v>5</v>
      </c>
      <c r="AI148" s="15"/>
      <c r="AJ148" s="9">
        <f t="shared" si="37"/>
        <v>15</v>
      </c>
      <c r="AK148" s="9">
        <f t="shared" si="38"/>
        <v>0</v>
      </c>
      <c r="AL148" s="9">
        <f t="shared" si="39"/>
        <v>2</v>
      </c>
      <c r="AM148" s="9">
        <f t="shared" si="40"/>
        <v>5</v>
      </c>
      <c r="AN148" s="9">
        <f t="shared" si="41"/>
        <v>0</v>
      </c>
      <c r="AO148" s="9">
        <f t="shared" si="42"/>
        <v>0</v>
      </c>
    </row>
    <row r="149" s="1" customFormat="1" outlineLevel="1" spans="2:41">
      <c r="B149" s="8" t="s">
        <v>33</v>
      </c>
      <c r="C149" s="8" t="s">
        <v>13</v>
      </c>
      <c r="D149" s="9" t="s">
        <v>3</v>
      </c>
      <c r="E149" s="9" t="s">
        <v>3</v>
      </c>
      <c r="F149" s="9" t="s">
        <v>3</v>
      </c>
      <c r="G149" s="9" t="s">
        <v>3</v>
      </c>
      <c r="H149" s="9" t="s">
        <v>3</v>
      </c>
      <c r="I149" s="9" t="s">
        <v>11</v>
      </c>
      <c r="J149" s="9" t="s">
        <v>11</v>
      </c>
      <c r="K149" s="9" t="s">
        <v>6</v>
      </c>
      <c r="L149" s="9" t="s">
        <v>6</v>
      </c>
      <c r="M149" s="9" t="s">
        <v>3</v>
      </c>
      <c r="N149" s="9" t="s">
        <v>3</v>
      </c>
      <c r="O149" s="9" t="s">
        <v>3</v>
      </c>
      <c r="P149" s="9" t="s">
        <v>5</v>
      </c>
      <c r="Q149" s="9" t="s">
        <v>11</v>
      </c>
      <c r="R149" s="9" t="s">
        <v>3</v>
      </c>
      <c r="S149" s="9" t="s">
        <v>3</v>
      </c>
      <c r="T149" s="9" t="s">
        <v>3</v>
      </c>
      <c r="U149" s="9" t="s">
        <v>3</v>
      </c>
      <c r="V149" s="9" t="s">
        <v>3</v>
      </c>
      <c r="W149" s="9" t="s">
        <v>11</v>
      </c>
      <c r="X149" s="9" t="s">
        <v>11</v>
      </c>
      <c r="Y149" s="9" t="s">
        <v>3</v>
      </c>
      <c r="Z149" s="9" t="s">
        <v>3</v>
      </c>
      <c r="AA149" s="9" t="s">
        <v>3</v>
      </c>
      <c r="AB149" s="9" t="s">
        <v>78</v>
      </c>
      <c r="AC149" s="9" t="s">
        <v>78</v>
      </c>
      <c r="AD149" s="9" t="s">
        <v>11</v>
      </c>
      <c r="AE149" s="9" t="s">
        <v>11</v>
      </c>
      <c r="AF149" s="9" t="s">
        <v>3</v>
      </c>
      <c r="AG149" s="9" t="s">
        <v>3</v>
      </c>
      <c r="AH149" s="9" t="s">
        <v>3</v>
      </c>
      <c r="AJ149" s="9">
        <f t="shared" si="37"/>
        <v>19</v>
      </c>
      <c r="AK149" s="9">
        <f t="shared" si="38"/>
        <v>0</v>
      </c>
      <c r="AL149" s="9">
        <f t="shared" si="39"/>
        <v>1</v>
      </c>
      <c r="AM149" s="9">
        <f t="shared" si="40"/>
        <v>2</v>
      </c>
      <c r="AN149" s="9">
        <f t="shared" si="41"/>
        <v>0</v>
      </c>
      <c r="AO149" s="9">
        <f t="shared" si="42"/>
        <v>0</v>
      </c>
    </row>
    <row r="150" s="1" customFormat="1" outlineLevel="1" spans="2:41">
      <c r="B150" s="8" t="s">
        <v>34</v>
      </c>
      <c r="C150" s="8" t="s">
        <v>13</v>
      </c>
      <c r="D150" s="9" t="s">
        <v>3</v>
      </c>
      <c r="E150" s="9" t="s">
        <v>3</v>
      </c>
      <c r="F150" s="9" t="s">
        <v>3</v>
      </c>
      <c r="G150" s="9" t="s">
        <v>3</v>
      </c>
      <c r="H150" s="9" t="s">
        <v>3</v>
      </c>
      <c r="I150" s="9" t="s">
        <v>11</v>
      </c>
      <c r="J150" s="9" t="s">
        <v>11</v>
      </c>
      <c r="K150" s="9" t="s">
        <v>3</v>
      </c>
      <c r="L150" s="9" t="s">
        <v>3</v>
      </c>
      <c r="M150" s="9" t="s">
        <v>3</v>
      </c>
      <c r="N150" s="9" t="s">
        <v>3</v>
      </c>
      <c r="O150" s="9" t="s">
        <v>3</v>
      </c>
      <c r="P150" s="9" t="s">
        <v>3</v>
      </c>
      <c r="Q150" s="9" t="s">
        <v>11</v>
      </c>
      <c r="R150" s="9" t="s">
        <v>3</v>
      </c>
      <c r="S150" s="9" t="s">
        <v>3</v>
      </c>
      <c r="T150" s="9" t="s">
        <v>3</v>
      </c>
      <c r="U150" s="9" t="s">
        <v>3</v>
      </c>
      <c r="V150" s="9" t="s">
        <v>3</v>
      </c>
      <c r="W150" s="9" t="s">
        <v>11</v>
      </c>
      <c r="X150" s="9" t="s">
        <v>11</v>
      </c>
      <c r="Y150" s="9" t="s">
        <v>3</v>
      </c>
      <c r="Z150" s="9" t="s">
        <v>3</v>
      </c>
      <c r="AA150" s="9" t="s">
        <v>7</v>
      </c>
      <c r="AB150" s="9" t="s">
        <v>78</v>
      </c>
      <c r="AC150" s="9" t="s">
        <v>78</v>
      </c>
      <c r="AD150" s="9" t="s">
        <v>11</v>
      </c>
      <c r="AE150" s="9" t="s">
        <v>11</v>
      </c>
      <c r="AF150" s="9" t="s">
        <v>3</v>
      </c>
      <c r="AG150" s="9" t="s">
        <v>3</v>
      </c>
      <c r="AH150" s="9" t="s">
        <v>3</v>
      </c>
      <c r="AJ150" s="9">
        <f t="shared" si="37"/>
        <v>21</v>
      </c>
      <c r="AK150" s="9">
        <f t="shared" si="38"/>
        <v>0</v>
      </c>
      <c r="AL150" s="9">
        <f t="shared" si="39"/>
        <v>0</v>
      </c>
      <c r="AM150" s="9">
        <f t="shared" si="40"/>
        <v>0</v>
      </c>
      <c r="AN150" s="9">
        <f t="shared" si="41"/>
        <v>1</v>
      </c>
      <c r="AO150" s="9">
        <f t="shared" si="42"/>
        <v>0</v>
      </c>
    </row>
    <row r="151" s="1" customFormat="1" outlineLevel="1" spans="2:41">
      <c r="B151" s="8" t="s">
        <v>35</v>
      </c>
      <c r="C151" s="8" t="s">
        <v>13</v>
      </c>
      <c r="D151" s="9" t="s">
        <v>3</v>
      </c>
      <c r="E151" s="9" t="s">
        <v>3</v>
      </c>
      <c r="F151" s="9" t="s">
        <v>3</v>
      </c>
      <c r="G151" s="9" t="s">
        <v>3</v>
      </c>
      <c r="H151" s="9" t="s">
        <v>3</v>
      </c>
      <c r="I151" s="9" t="s">
        <v>11</v>
      </c>
      <c r="J151" s="9" t="s">
        <v>11</v>
      </c>
      <c r="K151" s="9" t="s">
        <v>3</v>
      </c>
      <c r="L151" s="9" t="s">
        <v>3</v>
      </c>
      <c r="M151" s="9" t="s">
        <v>3</v>
      </c>
      <c r="N151" s="9" t="s">
        <v>3</v>
      </c>
      <c r="O151" s="9" t="s">
        <v>3</v>
      </c>
      <c r="P151" s="9" t="s">
        <v>3</v>
      </c>
      <c r="Q151" s="9" t="s">
        <v>11</v>
      </c>
      <c r="R151" s="9" t="s">
        <v>3</v>
      </c>
      <c r="S151" s="9" t="s">
        <v>3</v>
      </c>
      <c r="T151" s="9" t="s">
        <v>3</v>
      </c>
      <c r="U151" s="9" t="s">
        <v>3</v>
      </c>
      <c r="V151" s="9" t="s">
        <v>3</v>
      </c>
      <c r="W151" s="9" t="s">
        <v>11</v>
      </c>
      <c r="X151" s="9" t="s">
        <v>11</v>
      </c>
      <c r="Y151" s="9" t="s">
        <v>3</v>
      </c>
      <c r="Z151" s="9" t="s">
        <v>3</v>
      </c>
      <c r="AA151" s="9" t="s">
        <v>3</v>
      </c>
      <c r="AB151" s="9" t="s">
        <v>78</v>
      </c>
      <c r="AC151" s="9" t="s">
        <v>78</v>
      </c>
      <c r="AD151" s="9" t="s">
        <v>11</v>
      </c>
      <c r="AE151" s="9" t="s">
        <v>11</v>
      </c>
      <c r="AF151" s="9" t="s">
        <v>3</v>
      </c>
      <c r="AG151" s="9" t="s">
        <v>3</v>
      </c>
      <c r="AH151" s="9" t="s">
        <v>3</v>
      </c>
      <c r="AJ151" s="9">
        <f t="shared" si="37"/>
        <v>22</v>
      </c>
      <c r="AK151" s="9">
        <f t="shared" si="38"/>
        <v>0</v>
      </c>
      <c r="AL151" s="9">
        <f t="shared" si="39"/>
        <v>0</v>
      </c>
      <c r="AM151" s="9">
        <f t="shared" si="40"/>
        <v>0</v>
      </c>
      <c r="AN151" s="9">
        <f t="shared" si="41"/>
        <v>0</v>
      </c>
      <c r="AO151" s="9">
        <f t="shared" si="42"/>
        <v>0</v>
      </c>
    </row>
    <row r="152" s="1" customFormat="1" outlineLevel="1" spans="2:41">
      <c r="B152" s="8" t="s">
        <v>36</v>
      </c>
      <c r="C152" s="8" t="s">
        <v>10</v>
      </c>
      <c r="D152" s="9" t="s">
        <v>3</v>
      </c>
      <c r="E152" s="9" t="s">
        <v>3</v>
      </c>
      <c r="F152" s="9" t="s">
        <v>3</v>
      </c>
      <c r="G152" s="9" t="s">
        <v>3</v>
      </c>
      <c r="H152" s="9" t="s">
        <v>3</v>
      </c>
      <c r="I152" s="9" t="s">
        <v>11</v>
      </c>
      <c r="J152" s="9" t="s">
        <v>11</v>
      </c>
      <c r="K152" s="9" t="s">
        <v>6</v>
      </c>
      <c r="L152" s="9" t="s">
        <v>3</v>
      </c>
      <c r="M152" s="9" t="s">
        <v>6</v>
      </c>
      <c r="N152" s="9" t="s">
        <v>3</v>
      </c>
      <c r="O152" s="9" t="s">
        <v>3</v>
      </c>
      <c r="P152" s="9" t="s">
        <v>5</v>
      </c>
      <c r="Q152" s="9" t="s">
        <v>11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9" t="s">
        <v>11</v>
      </c>
      <c r="X152" s="9" t="s">
        <v>11</v>
      </c>
      <c r="Y152" s="9" t="s">
        <v>3</v>
      </c>
      <c r="Z152" s="9" t="s">
        <v>8</v>
      </c>
      <c r="AA152" s="9"/>
      <c r="AB152" s="47" t="s">
        <v>78</v>
      </c>
      <c r="AC152" s="47" t="s">
        <v>79</v>
      </c>
      <c r="AD152" s="9" t="s">
        <v>11</v>
      </c>
      <c r="AE152" s="9" t="s">
        <v>11</v>
      </c>
      <c r="AF152" s="9" t="s">
        <v>3</v>
      </c>
      <c r="AG152" s="9" t="s">
        <v>8</v>
      </c>
      <c r="AH152" s="9"/>
      <c r="AJ152" s="9">
        <f t="shared" si="37"/>
        <v>15</v>
      </c>
      <c r="AK152" s="9">
        <f t="shared" si="38"/>
        <v>0</v>
      </c>
      <c r="AL152" s="9">
        <f t="shared" si="39"/>
        <v>1</v>
      </c>
      <c r="AM152" s="9">
        <f t="shared" si="40"/>
        <v>2</v>
      </c>
      <c r="AN152" s="9">
        <f t="shared" si="41"/>
        <v>0</v>
      </c>
      <c r="AO152" s="9">
        <f t="shared" si="42"/>
        <v>2</v>
      </c>
    </row>
    <row r="153" s="1" customFormat="1" outlineLevel="1" spans="2:41">
      <c r="B153" s="8" t="s">
        <v>37</v>
      </c>
      <c r="C153" s="8" t="s">
        <v>13</v>
      </c>
      <c r="D153" s="9" t="s">
        <v>3</v>
      </c>
      <c r="E153" s="9" t="s">
        <v>3</v>
      </c>
      <c r="F153" s="9" t="s">
        <v>3</v>
      </c>
      <c r="G153" s="9" t="s">
        <v>3</v>
      </c>
      <c r="H153" s="9" t="s">
        <v>6</v>
      </c>
      <c r="I153" s="9" t="s">
        <v>11</v>
      </c>
      <c r="J153" s="9" t="s">
        <v>11</v>
      </c>
      <c r="K153" s="9" t="s">
        <v>5</v>
      </c>
      <c r="L153" s="9" t="s">
        <v>3</v>
      </c>
      <c r="M153" s="9" t="s">
        <v>3</v>
      </c>
      <c r="N153" s="9" t="s">
        <v>3</v>
      </c>
      <c r="O153" s="9" t="s">
        <v>3</v>
      </c>
      <c r="P153" s="9" t="s">
        <v>3</v>
      </c>
      <c r="Q153" s="9" t="s">
        <v>11</v>
      </c>
      <c r="R153" s="9" t="s">
        <v>6</v>
      </c>
      <c r="S153" s="9" t="s">
        <v>3</v>
      </c>
      <c r="T153" s="9" t="s">
        <v>8</v>
      </c>
      <c r="U153" s="9" t="s">
        <v>6</v>
      </c>
      <c r="V153" s="9" t="s">
        <v>6</v>
      </c>
      <c r="W153" s="9" t="s">
        <v>11</v>
      </c>
      <c r="X153" s="9" t="s">
        <v>11</v>
      </c>
      <c r="Y153" s="9" t="s">
        <v>3</v>
      </c>
      <c r="Z153" s="9" t="s">
        <v>3</v>
      </c>
      <c r="AA153" s="9" t="s">
        <v>3</v>
      </c>
      <c r="AB153" s="9" t="s">
        <v>78</v>
      </c>
      <c r="AC153" s="9" t="s">
        <v>78</v>
      </c>
      <c r="AD153" s="9" t="s">
        <v>11</v>
      </c>
      <c r="AE153" s="9" t="s">
        <v>11</v>
      </c>
      <c r="AF153" s="9" t="s">
        <v>3</v>
      </c>
      <c r="AG153" s="9" t="s">
        <v>3</v>
      </c>
      <c r="AH153" s="9" t="s">
        <v>3</v>
      </c>
      <c r="AJ153" s="9">
        <f t="shared" si="37"/>
        <v>16</v>
      </c>
      <c r="AK153" s="9">
        <f t="shared" si="38"/>
        <v>0</v>
      </c>
      <c r="AL153" s="9">
        <f t="shared" si="39"/>
        <v>1</v>
      </c>
      <c r="AM153" s="9">
        <f t="shared" si="40"/>
        <v>4</v>
      </c>
      <c r="AN153" s="9">
        <f t="shared" si="41"/>
        <v>0</v>
      </c>
      <c r="AO153" s="9">
        <f t="shared" si="42"/>
        <v>1</v>
      </c>
    </row>
    <row r="154" s="1" customFormat="1" outlineLevel="1" spans="2:41">
      <c r="B154" s="8" t="s">
        <v>38</v>
      </c>
      <c r="C154" s="8" t="s">
        <v>10</v>
      </c>
      <c r="D154" s="9"/>
      <c r="E154" s="9"/>
      <c r="F154" s="9"/>
      <c r="G154" s="9"/>
      <c r="H154" s="9"/>
      <c r="I154" s="9" t="s">
        <v>11</v>
      </c>
      <c r="J154" s="9" t="s">
        <v>11</v>
      </c>
      <c r="K154" s="9"/>
      <c r="L154" s="9"/>
      <c r="M154" s="9"/>
      <c r="N154" s="9"/>
      <c r="O154" s="9"/>
      <c r="P154" s="9"/>
      <c r="Q154" s="9" t="s">
        <v>11</v>
      </c>
      <c r="R154" s="9"/>
      <c r="S154" s="9"/>
      <c r="T154" s="9"/>
      <c r="U154" s="9" t="s">
        <v>3</v>
      </c>
      <c r="V154" s="9" t="s">
        <v>3</v>
      </c>
      <c r="W154" s="9" t="s">
        <v>11</v>
      </c>
      <c r="X154" s="9" t="s">
        <v>11</v>
      </c>
      <c r="Y154" s="9" t="s">
        <v>3</v>
      </c>
      <c r="Z154" s="9" t="s">
        <v>3</v>
      </c>
      <c r="AA154" s="9"/>
      <c r="AB154" s="47" t="s">
        <v>78</v>
      </c>
      <c r="AC154" s="47" t="s">
        <v>79</v>
      </c>
      <c r="AD154" s="9" t="s">
        <v>11</v>
      </c>
      <c r="AE154" s="9" t="s">
        <v>11</v>
      </c>
      <c r="AF154" s="9" t="s">
        <v>3</v>
      </c>
      <c r="AG154" s="9" t="s">
        <v>3</v>
      </c>
      <c r="AH154" s="9"/>
      <c r="AJ154" s="9">
        <f t="shared" si="37"/>
        <v>6</v>
      </c>
      <c r="AK154" s="9">
        <f t="shared" si="38"/>
        <v>0</v>
      </c>
      <c r="AL154" s="9">
        <f t="shared" si="39"/>
        <v>0</v>
      </c>
      <c r="AM154" s="9">
        <f t="shared" si="40"/>
        <v>0</v>
      </c>
      <c r="AN154" s="9">
        <f t="shared" si="41"/>
        <v>0</v>
      </c>
      <c r="AO154" s="9">
        <f t="shared" si="42"/>
        <v>0</v>
      </c>
    </row>
    <row r="155" s="1" customFormat="1" outlineLevel="1" spans="2:41">
      <c r="B155" s="8" t="s">
        <v>80</v>
      </c>
      <c r="C155" s="8" t="s">
        <v>15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 t="s">
        <v>3</v>
      </c>
      <c r="AB155" s="9" t="s">
        <v>78</v>
      </c>
      <c r="AC155" s="9" t="s">
        <v>79</v>
      </c>
      <c r="AD155" s="9" t="s">
        <v>11</v>
      </c>
      <c r="AE155" s="9" t="s">
        <v>11</v>
      </c>
      <c r="AF155" s="9" t="s">
        <v>5</v>
      </c>
      <c r="AG155" s="9" t="s">
        <v>5</v>
      </c>
      <c r="AH155" s="9" t="s">
        <v>5</v>
      </c>
      <c r="AJ155" s="9"/>
      <c r="AK155" s="9"/>
      <c r="AL155" s="9"/>
      <c r="AM155" s="9"/>
      <c r="AN155" s="9"/>
      <c r="AO155" s="9"/>
    </row>
    <row r="156" s="1" customFormat="1" outlineLevel="1" spans="2:41">
      <c r="B156" s="8" t="s">
        <v>39</v>
      </c>
      <c r="C156" s="8" t="s">
        <v>13</v>
      </c>
      <c r="D156" s="9" t="s">
        <v>3</v>
      </c>
      <c r="E156" s="9" t="s">
        <v>3</v>
      </c>
      <c r="F156" s="9" t="s">
        <v>3</v>
      </c>
      <c r="G156" s="9" t="s">
        <v>3</v>
      </c>
      <c r="H156" s="9" t="s">
        <v>3</v>
      </c>
      <c r="I156" s="9" t="s">
        <v>11</v>
      </c>
      <c r="J156" s="9" t="s">
        <v>11</v>
      </c>
      <c r="K156" s="9" t="s">
        <v>3</v>
      </c>
      <c r="L156" s="9" t="s">
        <v>3</v>
      </c>
      <c r="M156" s="9" t="s">
        <v>3</v>
      </c>
      <c r="N156" s="9" t="s">
        <v>3</v>
      </c>
      <c r="O156" s="9" t="s">
        <v>3</v>
      </c>
      <c r="P156" s="9" t="s">
        <v>3</v>
      </c>
      <c r="Q156" s="9" t="s">
        <v>11</v>
      </c>
      <c r="R156" s="9" t="s">
        <v>3</v>
      </c>
      <c r="S156" s="9" t="s">
        <v>3</v>
      </c>
      <c r="T156" s="9" t="s">
        <v>3</v>
      </c>
      <c r="U156" s="9" t="s">
        <v>3</v>
      </c>
      <c r="V156" s="9" t="s">
        <v>3</v>
      </c>
      <c r="W156" s="9" t="s">
        <v>11</v>
      </c>
      <c r="X156" s="9" t="s">
        <v>11</v>
      </c>
      <c r="Y156" s="9" t="s">
        <v>3</v>
      </c>
      <c r="Z156" s="9" t="s">
        <v>3</v>
      </c>
      <c r="AA156" s="9" t="s">
        <v>3</v>
      </c>
      <c r="AB156" s="9" t="s">
        <v>78</v>
      </c>
      <c r="AC156" s="9" t="s">
        <v>78</v>
      </c>
      <c r="AD156" s="9" t="s">
        <v>11</v>
      </c>
      <c r="AE156" s="9" t="s">
        <v>11</v>
      </c>
      <c r="AF156" s="9" t="s">
        <v>3</v>
      </c>
      <c r="AG156" s="9" t="s">
        <v>3</v>
      </c>
      <c r="AH156" s="9" t="s">
        <v>3</v>
      </c>
      <c r="AJ156" s="9">
        <f t="shared" ref="AJ156:AJ185" si="43">COUNTIF(D156:AH156,"P")</f>
        <v>22</v>
      </c>
      <c r="AK156" s="9">
        <f t="shared" ref="AK156:AK185" si="44">COUNTIF(D156:AH156,"FE")</f>
        <v>0</v>
      </c>
      <c r="AL156" s="9">
        <f t="shared" ref="AL156:AL185" si="45">COUNTIF(D156:AH156,"FI")</f>
        <v>0</v>
      </c>
      <c r="AM156" s="9">
        <f t="shared" ref="AM156:AM185" si="46">COUNTIF(D156:AH156,"FJ")</f>
        <v>0</v>
      </c>
      <c r="AN156" s="9">
        <f t="shared" ref="AN156:AN185" si="47">COUNTIF(D156:AH156,"ET")</f>
        <v>0</v>
      </c>
      <c r="AO156" s="9">
        <f t="shared" ref="AO156:AO185" si="48">COUNTIF(D156:AH156,"SC")</f>
        <v>0</v>
      </c>
    </row>
    <row r="157" s="1" customFormat="1" outlineLevel="1" spans="2:41">
      <c r="B157" s="8" t="s">
        <v>40</v>
      </c>
      <c r="C157" s="8" t="s">
        <v>13</v>
      </c>
      <c r="D157" s="9" t="s">
        <v>3</v>
      </c>
      <c r="E157" s="9" t="s">
        <v>3</v>
      </c>
      <c r="F157" s="9" t="s">
        <v>3</v>
      </c>
      <c r="G157" s="9" t="s">
        <v>3</v>
      </c>
      <c r="H157" s="9" t="s">
        <v>3</v>
      </c>
      <c r="I157" s="9" t="s">
        <v>11</v>
      </c>
      <c r="J157" s="9" t="s">
        <v>11</v>
      </c>
      <c r="K157" s="9" t="s">
        <v>3</v>
      </c>
      <c r="L157" s="9" t="s">
        <v>3</v>
      </c>
      <c r="M157" s="9" t="s">
        <v>3</v>
      </c>
      <c r="N157" s="9" t="s">
        <v>3</v>
      </c>
      <c r="O157" s="9" t="s">
        <v>3</v>
      </c>
      <c r="P157" s="9" t="s">
        <v>3</v>
      </c>
      <c r="Q157" s="9" t="s">
        <v>11</v>
      </c>
      <c r="R157" s="9" t="s">
        <v>3</v>
      </c>
      <c r="S157" s="9" t="s">
        <v>3</v>
      </c>
      <c r="T157" s="9" t="s">
        <v>3</v>
      </c>
      <c r="U157" s="9" t="s">
        <v>3</v>
      </c>
      <c r="V157" s="9" t="s">
        <v>3</v>
      </c>
      <c r="W157" s="9" t="s">
        <v>11</v>
      </c>
      <c r="X157" s="9" t="s">
        <v>11</v>
      </c>
      <c r="Y157" s="9" t="s">
        <v>3</v>
      </c>
      <c r="Z157" s="9" t="s">
        <v>3</v>
      </c>
      <c r="AA157" s="9" t="s">
        <v>3</v>
      </c>
      <c r="AB157" s="9" t="s">
        <v>78</v>
      </c>
      <c r="AC157" s="9" t="s">
        <v>78</v>
      </c>
      <c r="AD157" s="9" t="s">
        <v>11</v>
      </c>
      <c r="AE157" s="9" t="s">
        <v>11</v>
      </c>
      <c r="AF157" s="9" t="s">
        <v>3</v>
      </c>
      <c r="AG157" s="9" t="s">
        <v>3</v>
      </c>
      <c r="AH157" s="9" t="s">
        <v>3</v>
      </c>
      <c r="AJ157" s="9">
        <f t="shared" si="43"/>
        <v>22</v>
      </c>
      <c r="AK157" s="9">
        <f t="shared" si="44"/>
        <v>0</v>
      </c>
      <c r="AL157" s="9">
        <f t="shared" si="45"/>
        <v>0</v>
      </c>
      <c r="AM157" s="9">
        <f t="shared" si="46"/>
        <v>0</v>
      </c>
      <c r="AN157" s="9">
        <f t="shared" si="47"/>
        <v>0</v>
      </c>
      <c r="AO157" s="9">
        <f t="shared" si="48"/>
        <v>0</v>
      </c>
    </row>
    <row r="158" s="1" customFormat="1" outlineLevel="1" spans="2:41">
      <c r="B158" s="8" t="s">
        <v>41</v>
      </c>
      <c r="C158" s="8" t="s">
        <v>17</v>
      </c>
      <c r="D158" s="9" t="s">
        <v>3</v>
      </c>
      <c r="E158" s="9" t="s">
        <v>3</v>
      </c>
      <c r="F158" s="9" t="s">
        <v>3</v>
      </c>
      <c r="G158" s="9" t="s">
        <v>3</v>
      </c>
      <c r="H158" s="9" t="s">
        <v>3</v>
      </c>
      <c r="I158" s="9" t="s">
        <v>11</v>
      </c>
      <c r="J158" s="9" t="s">
        <v>11</v>
      </c>
      <c r="K158" s="9" t="s">
        <v>3</v>
      </c>
      <c r="L158" s="9" t="s">
        <v>3</v>
      </c>
      <c r="M158" s="9" t="s">
        <v>3</v>
      </c>
      <c r="N158" s="9" t="s">
        <v>3</v>
      </c>
      <c r="O158" s="9" t="s">
        <v>3</v>
      </c>
      <c r="P158" s="9" t="s">
        <v>3</v>
      </c>
      <c r="Q158" s="9" t="s">
        <v>11</v>
      </c>
      <c r="R158" s="9" t="s">
        <v>3</v>
      </c>
      <c r="S158" s="9" t="s">
        <v>3</v>
      </c>
      <c r="T158" s="9" t="s">
        <v>3</v>
      </c>
      <c r="U158" s="9" t="s">
        <v>3</v>
      </c>
      <c r="V158" s="9" t="s">
        <v>3</v>
      </c>
      <c r="W158" s="9" t="s">
        <v>11</v>
      </c>
      <c r="X158" s="9" t="s">
        <v>11</v>
      </c>
      <c r="Y158" s="9" t="s">
        <v>3</v>
      </c>
      <c r="Z158" s="9" t="s">
        <v>3</v>
      </c>
      <c r="AA158" s="9" t="s">
        <v>3</v>
      </c>
      <c r="AB158" s="9" t="s">
        <v>78</v>
      </c>
      <c r="AC158" s="9" t="s">
        <v>79</v>
      </c>
      <c r="AD158" s="9" t="s">
        <v>11</v>
      </c>
      <c r="AE158" s="9" t="s">
        <v>11</v>
      </c>
      <c r="AF158" s="9" t="s">
        <v>3</v>
      </c>
      <c r="AG158" s="9" t="s">
        <v>3</v>
      </c>
      <c r="AH158" s="9" t="s">
        <v>3</v>
      </c>
      <c r="AJ158" s="9">
        <f t="shared" si="43"/>
        <v>22</v>
      </c>
      <c r="AK158" s="9">
        <f t="shared" si="44"/>
        <v>0</v>
      </c>
      <c r="AL158" s="9">
        <f t="shared" si="45"/>
        <v>0</v>
      </c>
      <c r="AM158" s="9">
        <f t="shared" si="46"/>
        <v>0</v>
      </c>
      <c r="AN158" s="9">
        <f t="shared" si="47"/>
        <v>0</v>
      </c>
      <c r="AO158" s="9">
        <f t="shared" si="48"/>
        <v>0</v>
      </c>
    </row>
    <row r="159" s="1" customFormat="1" outlineLevel="1" spans="2:41">
      <c r="B159" s="8" t="s">
        <v>42</v>
      </c>
      <c r="C159" s="8" t="s">
        <v>10</v>
      </c>
      <c r="D159" s="9" t="s">
        <v>3</v>
      </c>
      <c r="E159" s="9" t="s">
        <v>3</v>
      </c>
      <c r="F159" s="9" t="s">
        <v>3</v>
      </c>
      <c r="G159" s="9" t="s">
        <v>3</v>
      </c>
      <c r="H159" s="9" t="s">
        <v>3</v>
      </c>
      <c r="I159" s="9" t="s">
        <v>11</v>
      </c>
      <c r="J159" s="9" t="s">
        <v>11</v>
      </c>
      <c r="K159" s="9" t="s">
        <v>3</v>
      </c>
      <c r="L159" s="9" t="s">
        <v>3</v>
      </c>
      <c r="M159" s="9" t="s">
        <v>3</v>
      </c>
      <c r="N159" s="9" t="s">
        <v>3</v>
      </c>
      <c r="O159" s="9" t="s">
        <v>3</v>
      </c>
      <c r="P159" s="9" t="s">
        <v>3</v>
      </c>
      <c r="Q159" s="9" t="s">
        <v>11</v>
      </c>
      <c r="R159" s="9" t="s">
        <v>3</v>
      </c>
      <c r="S159" s="9" t="s">
        <v>3</v>
      </c>
      <c r="T159" s="9" t="s">
        <v>3</v>
      </c>
      <c r="U159" s="9" t="s">
        <v>3</v>
      </c>
      <c r="V159" s="9" t="s">
        <v>3</v>
      </c>
      <c r="W159" s="9" t="s">
        <v>11</v>
      </c>
      <c r="X159" s="9" t="s">
        <v>11</v>
      </c>
      <c r="Y159" s="9" t="s">
        <v>3</v>
      </c>
      <c r="Z159" s="9" t="s">
        <v>3</v>
      </c>
      <c r="AA159" s="9" t="s">
        <v>3</v>
      </c>
      <c r="AB159" s="47" t="s">
        <v>78</v>
      </c>
      <c r="AC159" s="47" t="s">
        <v>79</v>
      </c>
      <c r="AD159" s="9" t="s">
        <v>11</v>
      </c>
      <c r="AE159" s="9" t="s">
        <v>11</v>
      </c>
      <c r="AF159" s="9" t="s">
        <v>3</v>
      </c>
      <c r="AG159" s="9" t="s">
        <v>3</v>
      </c>
      <c r="AH159" s="9" t="s">
        <v>3</v>
      </c>
      <c r="AJ159" s="9">
        <f t="shared" si="43"/>
        <v>22</v>
      </c>
      <c r="AK159" s="9">
        <f t="shared" si="44"/>
        <v>0</v>
      </c>
      <c r="AL159" s="9">
        <f t="shared" si="45"/>
        <v>0</v>
      </c>
      <c r="AM159" s="9">
        <f t="shared" si="46"/>
        <v>0</v>
      </c>
      <c r="AN159" s="9">
        <f t="shared" si="47"/>
        <v>0</v>
      </c>
      <c r="AO159" s="9">
        <f t="shared" si="48"/>
        <v>0</v>
      </c>
    </row>
    <row r="160" s="1" customFormat="1" outlineLevel="1" spans="2:41">
      <c r="B160" s="8" t="s">
        <v>43</v>
      </c>
      <c r="C160" s="8" t="s">
        <v>13</v>
      </c>
      <c r="D160" s="9" t="s">
        <v>3</v>
      </c>
      <c r="E160" s="9" t="s">
        <v>3</v>
      </c>
      <c r="F160" s="9" t="s">
        <v>3</v>
      </c>
      <c r="G160" s="9" t="s">
        <v>3</v>
      </c>
      <c r="H160" s="9" t="s">
        <v>3</v>
      </c>
      <c r="I160" s="9" t="s">
        <v>11</v>
      </c>
      <c r="J160" s="9" t="s">
        <v>11</v>
      </c>
      <c r="K160" s="9" t="s">
        <v>3</v>
      </c>
      <c r="L160" s="9" t="s">
        <v>3</v>
      </c>
      <c r="M160" s="9" t="s">
        <v>3</v>
      </c>
      <c r="N160" s="9" t="s">
        <v>3</v>
      </c>
      <c r="O160" s="9" t="s">
        <v>3</v>
      </c>
      <c r="P160" s="9" t="s">
        <v>5</v>
      </c>
      <c r="Q160" s="9" t="s">
        <v>11</v>
      </c>
      <c r="R160" s="9" t="s">
        <v>3</v>
      </c>
      <c r="S160" s="9" t="s">
        <v>3</v>
      </c>
      <c r="T160" s="9" t="s">
        <v>3</v>
      </c>
      <c r="U160" s="9" t="s">
        <v>3</v>
      </c>
      <c r="V160" s="9" t="s">
        <v>3</v>
      </c>
      <c r="W160" s="9" t="s">
        <v>11</v>
      </c>
      <c r="X160" s="9" t="s">
        <v>11</v>
      </c>
      <c r="Y160" s="9" t="s">
        <v>3</v>
      </c>
      <c r="Z160" s="9" t="s">
        <v>3</v>
      </c>
      <c r="AA160" s="9" t="s">
        <v>3</v>
      </c>
      <c r="AB160" s="9" t="s">
        <v>78</v>
      </c>
      <c r="AC160" s="9" t="s">
        <v>78</v>
      </c>
      <c r="AD160" s="9" t="s">
        <v>11</v>
      </c>
      <c r="AE160" s="9" t="s">
        <v>11</v>
      </c>
      <c r="AF160" s="9" t="s">
        <v>3</v>
      </c>
      <c r="AG160" s="9" t="s">
        <v>3</v>
      </c>
      <c r="AH160" s="9" t="s">
        <v>3</v>
      </c>
      <c r="AJ160" s="9">
        <f t="shared" si="43"/>
        <v>21</v>
      </c>
      <c r="AK160" s="9">
        <f t="shared" si="44"/>
        <v>0</v>
      </c>
      <c r="AL160" s="9">
        <f t="shared" si="45"/>
        <v>1</v>
      </c>
      <c r="AM160" s="9">
        <f t="shared" si="46"/>
        <v>0</v>
      </c>
      <c r="AN160" s="9">
        <f t="shared" si="47"/>
        <v>0</v>
      </c>
      <c r="AO160" s="9">
        <f t="shared" si="48"/>
        <v>0</v>
      </c>
    </row>
    <row r="161" s="1" customFormat="1" outlineLevel="1" spans="2:41">
      <c r="B161" s="8" t="s">
        <v>44</v>
      </c>
      <c r="C161" s="8" t="s">
        <v>10</v>
      </c>
      <c r="D161" s="9" t="s">
        <v>3</v>
      </c>
      <c r="E161" s="9" t="s">
        <v>3</v>
      </c>
      <c r="F161" s="9" t="s">
        <v>3</v>
      </c>
      <c r="G161" s="9" t="s">
        <v>3</v>
      </c>
      <c r="H161" s="9" t="s">
        <v>3</v>
      </c>
      <c r="I161" s="9" t="s">
        <v>11</v>
      </c>
      <c r="J161" s="9" t="s">
        <v>11</v>
      </c>
      <c r="K161" s="9" t="s">
        <v>3</v>
      </c>
      <c r="L161" s="9" t="s">
        <v>3</v>
      </c>
      <c r="M161" s="9" t="s">
        <v>3</v>
      </c>
      <c r="N161" s="9" t="s">
        <v>3</v>
      </c>
      <c r="O161" s="9" t="s">
        <v>3</v>
      </c>
      <c r="P161" s="9" t="s">
        <v>5</v>
      </c>
      <c r="Q161" s="9" t="s">
        <v>11</v>
      </c>
      <c r="R161" s="9" t="s">
        <v>3</v>
      </c>
      <c r="S161" s="9" t="s">
        <v>3</v>
      </c>
      <c r="T161" s="9" t="s">
        <v>3</v>
      </c>
      <c r="U161" s="9" t="s">
        <v>3</v>
      </c>
      <c r="V161" s="9" t="s">
        <v>3</v>
      </c>
      <c r="W161" s="9" t="s">
        <v>11</v>
      </c>
      <c r="X161" s="9" t="s">
        <v>11</v>
      </c>
      <c r="Y161" s="9" t="s">
        <v>5</v>
      </c>
      <c r="Z161" s="9" t="s">
        <v>3</v>
      </c>
      <c r="AA161" s="9" t="s">
        <v>3</v>
      </c>
      <c r="AB161" s="47" t="s">
        <v>78</v>
      </c>
      <c r="AC161" s="47" t="s">
        <v>79</v>
      </c>
      <c r="AD161" s="9" t="s">
        <v>11</v>
      </c>
      <c r="AE161" s="9" t="s">
        <v>11</v>
      </c>
      <c r="AF161" s="9" t="s">
        <v>3</v>
      </c>
      <c r="AG161" s="9" t="s">
        <v>3</v>
      </c>
      <c r="AH161" s="9" t="s">
        <v>3</v>
      </c>
      <c r="AJ161" s="9">
        <f t="shared" si="43"/>
        <v>20</v>
      </c>
      <c r="AK161" s="9">
        <f t="shared" si="44"/>
        <v>0</v>
      </c>
      <c r="AL161" s="9">
        <f t="shared" si="45"/>
        <v>2</v>
      </c>
      <c r="AM161" s="9">
        <f t="shared" si="46"/>
        <v>0</v>
      </c>
      <c r="AN161" s="9">
        <f t="shared" si="47"/>
        <v>0</v>
      </c>
      <c r="AO161" s="9">
        <f t="shared" si="48"/>
        <v>0</v>
      </c>
    </row>
    <row r="162" s="1" customFormat="1" outlineLevel="1" spans="2:41">
      <c r="B162" s="8" t="s">
        <v>45</v>
      </c>
      <c r="C162" s="8" t="s">
        <v>15</v>
      </c>
      <c r="D162" s="9" t="s">
        <v>3</v>
      </c>
      <c r="E162" s="9" t="s">
        <v>3</v>
      </c>
      <c r="F162" s="9" t="s">
        <v>3</v>
      </c>
      <c r="G162" s="9" t="s">
        <v>3</v>
      </c>
      <c r="H162" s="9" t="s">
        <v>3</v>
      </c>
      <c r="I162" s="9" t="s">
        <v>11</v>
      </c>
      <c r="J162" s="9" t="s">
        <v>11</v>
      </c>
      <c r="K162" s="9" t="s">
        <v>3</v>
      </c>
      <c r="L162" s="9" t="s">
        <v>3</v>
      </c>
      <c r="M162" s="9" t="s">
        <v>3</v>
      </c>
      <c r="N162" s="9" t="s">
        <v>3</v>
      </c>
      <c r="O162" s="9" t="s">
        <v>3</v>
      </c>
      <c r="P162" s="9" t="s">
        <v>3</v>
      </c>
      <c r="Q162" s="9" t="s">
        <v>11</v>
      </c>
      <c r="R162" s="9" t="s">
        <v>3</v>
      </c>
      <c r="S162" s="9" t="s">
        <v>3</v>
      </c>
      <c r="T162" s="9" t="s">
        <v>3</v>
      </c>
      <c r="U162" s="9" t="s">
        <v>3</v>
      </c>
      <c r="V162" s="9" t="s">
        <v>8</v>
      </c>
      <c r="W162" s="9" t="s">
        <v>11</v>
      </c>
      <c r="X162" s="9" t="s">
        <v>11</v>
      </c>
      <c r="Y162" s="9" t="s">
        <v>3</v>
      </c>
      <c r="Z162" s="9" t="s">
        <v>3</v>
      </c>
      <c r="AA162" s="9" t="s">
        <v>5</v>
      </c>
      <c r="AB162" s="9" t="s">
        <v>78</v>
      </c>
      <c r="AC162" s="9" t="s">
        <v>79</v>
      </c>
      <c r="AD162" s="9" t="s">
        <v>11</v>
      </c>
      <c r="AE162" s="9" t="s">
        <v>11</v>
      </c>
      <c r="AF162" s="9" t="s">
        <v>3</v>
      </c>
      <c r="AG162" s="9" t="s">
        <v>3</v>
      </c>
      <c r="AH162" s="9" t="s">
        <v>5</v>
      </c>
      <c r="AJ162" s="9">
        <f t="shared" si="43"/>
        <v>19</v>
      </c>
      <c r="AK162" s="9">
        <f t="shared" si="44"/>
        <v>0</v>
      </c>
      <c r="AL162" s="9">
        <f t="shared" si="45"/>
        <v>2</v>
      </c>
      <c r="AM162" s="9">
        <f t="shared" si="46"/>
        <v>0</v>
      </c>
      <c r="AN162" s="9">
        <f t="shared" si="47"/>
        <v>0</v>
      </c>
      <c r="AO162" s="9">
        <f t="shared" si="48"/>
        <v>1</v>
      </c>
    </row>
    <row r="163" s="1" customFormat="1" outlineLevel="1" spans="2:41">
      <c r="B163" s="8" t="s">
        <v>46</v>
      </c>
      <c r="C163" s="8" t="s">
        <v>47</v>
      </c>
      <c r="D163" s="9" t="s">
        <v>3</v>
      </c>
      <c r="E163" s="9" t="s">
        <v>3</v>
      </c>
      <c r="F163" s="9" t="s">
        <v>3</v>
      </c>
      <c r="G163" s="9" t="s">
        <v>3</v>
      </c>
      <c r="H163" s="9" t="s">
        <v>3</v>
      </c>
      <c r="I163" s="9" t="s">
        <v>11</v>
      </c>
      <c r="J163" s="9" t="s">
        <v>11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3</v>
      </c>
      <c r="Q163" s="9" t="s">
        <v>11</v>
      </c>
      <c r="R163" s="9" t="s">
        <v>3</v>
      </c>
      <c r="S163" s="9" t="s">
        <v>3</v>
      </c>
      <c r="T163" s="9" t="s">
        <v>3</v>
      </c>
      <c r="U163" s="9" t="s">
        <v>3</v>
      </c>
      <c r="V163" s="9" t="s">
        <v>3</v>
      </c>
      <c r="W163" s="9" t="s">
        <v>11</v>
      </c>
      <c r="X163" s="9" t="s">
        <v>11</v>
      </c>
      <c r="Y163" s="9" t="s">
        <v>3</v>
      </c>
      <c r="Z163" s="9" t="s">
        <v>3</v>
      </c>
      <c r="AA163" s="9" t="s">
        <v>3</v>
      </c>
      <c r="AB163" s="9" t="s">
        <v>78</v>
      </c>
      <c r="AC163" s="9" t="s">
        <v>79</v>
      </c>
      <c r="AD163" s="9" t="s">
        <v>11</v>
      </c>
      <c r="AE163" s="9" t="s">
        <v>11</v>
      </c>
      <c r="AF163" s="9" t="s">
        <v>3</v>
      </c>
      <c r="AG163" s="9" t="s">
        <v>3</v>
      </c>
      <c r="AH163" s="9" t="s">
        <v>3</v>
      </c>
      <c r="AJ163" s="9">
        <f t="shared" si="43"/>
        <v>22</v>
      </c>
      <c r="AK163" s="9">
        <f t="shared" si="44"/>
        <v>0</v>
      </c>
      <c r="AL163" s="9">
        <f t="shared" si="45"/>
        <v>0</v>
      </c>
      <c r="AM163" s="9">
        <f t="shared" si="46"/>
        <v>0</v>
      </c>
      <c r="AN163" s="9">
        <f t="shared" si="47"/>
        <v>0</v>
      </c>
      <c r="AO163" s="9">
        <f t="shared" si="48"/>
        <v>0</v>
      </c>
    </row>
    <row r="164" s="1" customFormat="1" outlineLevel="1" spans="2:41">
      <c r="B164" s="8" t="s">
        <v>48</v>
      </c>
      <c r="C164" s="8" t="s">
        <v>17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11</v>
      </c>
      <c r="J164" s="9" t="s">
        <v>11</v>
      </c>
      <c r="K164" s="9" t="s">
        <v>3</v>
      </c>
      <c r="L164" s="9" t="s">
        <v>3</v>
      </c>
      <c r="M164" s="9" t="s">
        <v>3</v>
      </c>
      <c r="N164" s="9" t="s">
        <v>3</v>
      </c>
      <c r="O164" s="9" t="s">
        <v>3</v>
      </c>
      <c r="P164" s="9" t="s">
        <v>3</v>
      </c>
      <c r="Q164" s="9" t="s">
        <v>11</v>
      </c>
      <c r="R164" s="9" t="s">
        <v>3</v>
      </c>
      <c r="S164" s="9" t="s">
        <v>3</v>
      </c>
      <c r="T164" s="9" t="s">
        <v>3</v>
      </c>
      <c r="U164" s="9" t="s">
        <v>3</v>
      </c>
      <c r="V164" s="9" t="s">
        <v>3</v>
      </c>
      <c r="W164" s="9" t="s">
        <v>11</v>
      </c>
      <c r="X164" s="9" t="s">
        <v>11</v>
      </c>
      <c r="Y164" s="9" t="s">
        <v>3</v>
      </c>
      <c r="Z164" s="9" t="s">
        <v>5</v>
      </c>
      <c r="AA164" s="9" t="s">
        <v>5</v>
      </c>
      <c r="AB164" s="9" t="s">
        <v>78</v>
      </c>
      <c r="AC164" s="9" t="s">
        <v>79</v>
      </c>
      <c r="AD164" s="9" t="s">
        <v>11</v>
      </c>
      <c r="AE164" s="9" t="s">
        <v>11</v>
      </c>
      <c r="AF164" s="9" t="s">
        <v>5</v>
      </c>
      <c r="AG164" s="9" t="s">
        <v>5</v>
      </c>
      <c r="AH164" s="9" t="s">
        <v>5</v>
      </c>
      <c r="AJ164" s="9">
        <f t="shared" si="43"/>
        <v>17</v>
      </c>
      <c r="AK164" s="9">
        <f t="shared" si="44"/>
        <v>0</v>
      </c>
      <c r="AL164" s="9">
        <f t="shared" si="45"/>
        <v>5</v>
      </c>
      <c r="AM164" s="9">
        <f t="shared" si="46"/>
        <v>0</v>
      </c>
      <c r="AN164" s="9">
        <f t="shared" si="47"/>
        <v>0</v>
      </c>
      <c r="AO164" s="9">
        <f t="shared" si="48"/>
        <v>0</v>
      </c>
    </row>
    <row r="165" s="1" customFormat="1" outlineLevel="1" spans="2:41">
      <c r="B165" s="8" t="s">
        <v>49</v>
      </c>
      <c r="C165" s="8" t="s">
        <v>10</v>
      </c>
      <c r="D165" s="9" t="s">
        <v>3</v>
      </c>
      <c r="E165" s="9" t="s">
        <v>3</v>
      </c>
      <c r="F165" s="9" t="s">
        <v>3</v>
      </c>
      <c r="G165" s="9" t="s">
        <v>3</v>
      </c>
      <c r="H165" s="9" t="s">
        <v>3</v>
      </c>
      <c r="I165" s="9" t="s">
        <v>11</v>
      </c>
      <c r="J165" s="9" t="s">
        <v>11</v>
      </c>
      <c r="K165" s="9" t="s">
        <v>3</v>
      </c>
      <c r="L165" s="9" t="s">
        <v>3</v>
      </c>
      <c r="M165" s="9" t="s">
        <v>3</v>
      </c>
      <c r="N165" s="9" t="s">
        <v>3</v>
      </c>
      <c r="O165" s="9" t="s">
        <v>3</v>
      </c>
      <c r="P165" s="9" t="s">
        <v>3</v>
      </c>
      <c r="Q165" s="9" t="s">
        <v>11</v>
      </c>
      <c r="R165" s="9" t="s">
        <v>3</v>
      </c>
      <c r="S165" s="9" t="s">
        <v>3</v>
      </c>
      <c r="T165" s="9" t="s">
        <v>3</v>
      </c>
      <c r="U165" s="9" t="s">
        <v>3</v>
      </c>
      <c r="V165" s="9" t="s">
        <v>8</v>
      </c>
      <c r="W165" s="9" t="s">
        <v>11</v>
      </c>
      <c r="X165" s="9" t="s">
        <v>11</v>
      </c>
      <c r="Y165" s="9" t="s">
        <v>3</v>
      </c>
      <c r="Z165" s="9" t="s">
        <v>3</v>
      </c>
      <c r="AA165" s="9" t="s">
        <v>3</v>
      </c>
      <c r="AB165" s="47" t="s">
        <v>78</v>
      </c>
      <c r="AC165" s="47" t="s">
        <v>79</v>
      </c>
      <c r="AD165" s="9" t="s">
        <v>11</v>
      </c>
      <c r="AE165" s="9" t="s">
        <v>11</v>
      </c>
      <c r="AF165" s="9" t="s">
        <v>3</v>
      </c>
      <c r="AG165" s="9" t="s">
        <v>3</v>
      </c>
      <c r="AH165" s="9" t="s">
        <v>3</v>
      </c>
      <c r="AJ165" s="9">
        <f t="shared" si="43"/>
        <v>21</v>
      </c>
      <c r="AK165" s="9">
        <f t="shared" si="44"/>
        <v>0</v>
      </c>
      <c r="AL165" s="9">
        <f t="shared" si="45"/>
        <v>0</v>
      </c>
      <c r="AM165" s="9">
        <f t="shared" si="46"/>
        <v>0</v>
      </c>
      <c r="AN165" s="9">
        <f t="shared" si="47"/>
        <v>0</v>
      </c>
      <c r="AO165" s="9">
        <f t="shared" si="48"/>
        <v>1</v>
      </c>
    </row>
    <row r="166" s="1" customFormat="1" outlineLevel="1" spans="2:41">
      <c r="B166" s="8" t="s">
        <v>50</v>
      </c>
      <c r="C166" s="8" t="s">
        <v>15</v>
      </c>
      <c r="D166" s="9" t="s">
        <v>3</v>
      </c>
      <c r="E166" s="9" t="s">
        <v>3</v>
      </c>
      <c r="F166" s="9" t="s">
        <v>3</v>
      </c>
      <c r="G166" s="9" t="s">
        <v>3</v>
      </c>
      <c r="H166" s="9" t="s">
        <v>3</v>
      </c>
      <c r="I166" s="9" t="s">
        <v>11</v>
      </c>
      <c r="J166" s="9" t="s">
        <v>11</v>
      </c>
      <c r="K166" s="9" t="s">
        <v>3</v>
      </c>
      <c r="L166" s="9" t="s">
        <v>3</v>
      </c>
      <c r="M166" s="9" t="s">
        <v>3</v>
      </c>
      <c r="N166" s="9" t="s">
        <v>3</v>
      </c>
      <c r="O166" s="9" t="s">
        <v>3</v>
      </c>
      <c r="P166" s="9" t="s">
        <v>3</v>
      </c>
      <c r="Q166" s="9" t="s">
        <v>11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8</v>
      </c>
      <c r="W166" s="9" t="s">
        <v>11</v>
      </c>
      <c r="X166" s="9" t="s">
        <v>11</v>
      </c>
      <c r="Y166" s="9" t="s">
        <v>3</v>
      </c>
      <c r="Z166" s="9" t="s">
        <v>3</v>
      </c>
      <c r="AA166" s="9" t="s">
        <v>3</v>
      </c>
      <c r="AB166" s="9" t="s">
        <v>78</v>
      </c>
      <c r="AC166" s="9" t="s">
        <v>79</v>
      </c>
      <c r="AD166" s="9" t="s">
        <v>11</v>
      </c>
      <c r="AE166" s="9" t="s">
        <v>11</v>
      </c>
      <c r="AF166" s="9" t="s">
        <v>3</v>
      </c>
      <c r="AG166" s="9" t="s">
        <v>3</v>
      </c>
      <c r="AH166" s="9" t="s">
        <v>3</v>
      </c>
      <c r="AJ166" s="9">
        <f t="shared" si="43"/>
        <v>21</v>
      </c>
      <c r="AK166" s="9">
        <f t="shared" si="44"/>
        <v>0</v>
      </c>
      <c r="AL166" s="9">
        <f t="shared" si="45"/>
        <v>0</v>
      </c>
      <c r="AM166" s="9">
        <f t="shared" si="46"/>
        <v>0</v>
      </c>
      <c r="AN166" s="9">
        <f t="shared" si="47"/>
        <v>0</v>
      </c>
      <c r="AO166" s="9">
        <f t="shared" si="48"/>
        <v>1</v>
      </c>
    </row>
    <row r="167" s="1" customFormat="1" outlineLevel="1" spans="2:41">
      <c r="B167" s="8" t="s">
        <v>51</v>
      </c>
      <c r="C167" s="8" t="s">
        <v>13</v>
      </c>
      <c r="D167" s="9" t="s">
        <v>3</v>
      </c>
      <c r="E167" s="9" t="s">
        <v>3</v>
      </c>
      <c r="F167" s="9" t="s">
        <v>3</v>
      </c>
      <c r="G167" s="9" t="s">
        <v>3</v>
      </c>
      <c r="H167" s="9" t="s">
        <v>3</v>
      </c>
      <c r="I167" s="9" t="s">
        <v>11</v>
      </c>
      <c r="J167" s="9" t="s">
        <v>11</v>
      </c>
      <c r="K167" s="9" t="s">
        <v>3</v>
      </c>
      <c r="L167" s="9" t="s">
        <v>3</v>
      </c>
      <c r="M167" s="9" t="s">
        <v>3</v>
      </c>
      <c r="N167" s="9" t="s">
        <v>3</v>
      </c>
      <c r="O167" s="9" t="s">
        <v>3</v>
      </c>
      <c r="P167" s="9" t="s">
        <v>5</v>
      </c>
      <c r="Q167" s="9" t="s">
        <v>11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3</v>
      </c>
      <c r="W167" s="9" t="s">
        <v>11</v>
      </c>
      <c r="X167" s="9" t="s">
        <v>11</v>
      </c>
      <c r="Y167" s="9" t="s">
        <v>3</v>
      </c>
      <c r="Z167" s="9" t="s">
        <v>3</v>
      </c>
      <c r="AA167" s="9" t="s">
        <v>3</v>
      </c>
      <c r="AB167" s="9" t="s">
        <v>78</v>
      </c>
      <c r="AC167" s="9" t="s">
        <v>78</v>
      </c>
      <c r="AD167" s="9" t="s">
        <v>11</v>
      </c>
      <c r="AE167" s="9" t="s">
        <v>11</v>
      </c>
      <c r="AF167" s="9" t="s">
        <v>3</v>
      </c>
      <c r="AG167" s="9" t="s">
        <v>3</v>
      </c>
      <c r="AH167" s="9" t="s">
        <v>3</v>
      </c>
      <c r="AJ167" s="9">
        <f t="shared" si="43"/>
        <v>21</v>
      </c>
      <c r="AK167" s="9">
        <f t="shared" si="44"/>
        <v>0</v>
      </c>
      <c r="AL167" s="9">
        <f t="shared" si="45"/>
        <v>1</v>
      </c>
      <c r="AM167" s="9">
        <f t="shared" si="46"/>
        <v>0</v>
      </c>
      <c r="AN167" s="9">
        <f t="shared" si="47"/>
        <v>0</v>
      </c>
      <c r="AO167" s="9">
        <f t="shared" si="48"/>
        <v>0</v>
      </c>
    </row>
    <row r="168" s="1" customFormat="1" outlineLevel="1" spans="2:41">
      <c r="B168" s="8" t="s">
        <v>52</v>
      </c>
      <c r="C168" s="8" t="s">
        <v>13</v>
      </c>
      <c r="D168" s="9" t="s">
        <v>3</v>
      </c>
      <c r="E168" s="9" t="s">
        <v>3</v>
      </c>
      <c r="F168" s="9" t="s">
        <v>3</v>
      </c>
      <c r="G168" s="9" t="s">
        <v>3</v>
      </c>
      <c r="H168" s="9" t="s">
        <v>3</v>
      </c>
      <c r="I168" s="9" t="s">
        <v>11</v>
      </c>
      <c r="J168" s="9" t="s">
        <v>11</v>
      </c>
      <c r="K168" s="9" t="s">
        <v>3</v>
      </c>
      <c r="L168" s="9" t="s">
        <v>3</v>
      </c>
      <c r="M168" s="9" t="s">
        <v>3</v>
      </c>
      <c r="N168" s="9" t="s">
        <v>3</v>
      </c>
      <c r="O168" s="9" t="s">
        <v>3</v>
      </c>
      <c r="P168" s="9" t="s">
        <v>5</v>
      </c>
      <c r="Q168" s="9" t="s">
        <v>11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3</v>
      </c>
      <c r="W168" s="9" t="s">
        <v>11</v>
      </c>
      <c r="X168" s="9" t="s">
        <v>11</v>
      </c>
      <c r="Y168" s="9" t="s">
        <v>3</v>
      </c>
      <c r="Z168" s="9" t="s">
        <v>3</v>
      </c>
      <c r="AA168" s="9" t="s">
        <v>5</v>
      </c>
      <c r="AB168" s="9" t="s">
        <v>78</v>
      </c>
      <c r="AC168" s="9" t="s">
        <v>78</v>
      </c>
      <c r="AD168" s="9" t="s">
        <v>11</v>
      </c>
      <c r="AE168" s="9" t="s">
        <v>11</v>
      </c>
      <c r="AF168" s="9" t="s">
        <v>5</v>
      </c>
      <c r="AG168" s="9" t="s">
        <v>3</v>
      </c>
      <c r="AH168" s="9" t="s">
        <v>5</v>
      </c>
      <c r="AJ168" s="9">
        <f t="shared" si="43"/>
        <v>18</v>
      </c>
      <c r="AK168" s="9">
        <f t="shared" si="44"/>
        <v>0</v>
      </c>
      <c r="AL168" s="9">
        <f t="shared" si="45"/>
        <v>4</v>
      </c>
      <c r="AM168" s="9">
        <f t="shared" si="46"/>
        <v>0</v>
      </c>
      <c r="AN168" s="9">
        <f t="shared" si="47"/>
        <v>0</v>
      </c>
      <c r="AO168" s="9">
        <f t="shared" si="48"/>
        <v>0</v>
      </c>
    </row>
    <row r="169" s="1" customFormat="1" outlineLevel="1" spans="2:41">
      <c r="B169" s="8" t="s">
        <v>81</v>
      </c>
      <c r="C169" s="8" t="s">
        <v>17</v>
      </c>
      <c r="D169" s="9" t="s">
        <v>3</v>
      </c>
      <c r="E169" s="9" t="s">
        <v>3</v>
      </c>
      <c r="F169" s="9" t="s">
        <v>6</v>
      </c>
      <c r="G169" s="9" t="s">
        <v>6</v>
      </c>
      <c r="H169" s="9" t="s">
        <v>3</v>
      </c>
      <c r="I169" s="9" t="s">
        <v>11</v>
      </c>
      <c r="J169" s="9" t="s">
        <v>11</v>
      </c>
      <c r="K169" s="9" t="s">
        <v>6</v>
      </c>
      <c r="L169" s="9" t="s">
        <v>3</v>
      </c>
      <c r="M169" s="9" t="s">
        <v>3</v>
      </c>
      <c r="N169" s="9" t="s">
        <v>3</v>
      </c>
      <c r="O169" s="9" t="s">
        <v>3</v>
      </c>
      <c r="P169" s="9" t="s">
        <v>3</v>
      </c>
      <c r="Q169" s="9" t="s">
        <v>11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11</v>
      </c>
      <c r="X169" s="9" t="s">
        <v>11</v>
      </c>
      <c r="Y169" s="9" t="s">
        <v>3</v>
      </c>
      <c r="Z169" s="9" t="s">
        <v>3</v>
      </c>
      <c r="AA169" s="9" t="s">
        <v>5</v>
      </c>
      <c r="AB169" s="9" t="s">
        <v>78</v>
      </c>
      <c r="AC169" s="9" t="s">
        <v>79</v>
      </c>
      <c r="AD169" s="9" t="s">
        <v>11</v>
      </c>
      <c r="AE169" s="9" t="s">
        <v>11</v>
      </c>
      <c r="AF169" s="9" t="s">
        <v>3</v>
      </c>
      <c r="AG169" s="9" t="s">
        <v>3</v>
      </c>
      <c r="AH169" s="9" t="s">
        <v>5</v>
      </c>
      <c r="AJ169" s="9">
        <f t="shared" si="43"/>
        <v>17</v>
      </c>
      <c r="AK169" s="9">
        <f t="shared" si="44"/>
        <v>0</v>
      </c>
      <c r="AL169" s="9">
        <f t="shared" si="45"/>
        <v>2</v>
      </c>
      <c r="AM169" s="9">
        <f t="shared" si="46"/>
        <v>3</v>
      </c>
      <c r="AN169" s="9">
        <f t="shared" si="47"/>
        <v>0</v>
      </c>
      <c r="AO169" s="9">
        <f t="shared" si="48"/>
        <v>0</v>
      </c>
    </row>
    <row r="170" s="1" customFormat="1" outlineLevel="1" spans="2:41">
      <c r="B170" s="8" t="s">
        <v>54</v>
      </c>
      <c r="C170" s="8" t="s">
        <v>10</v>
      </c>
      <c r="D170" s="9" t="s">
        <v>3</v>
      </c>
      <c r="E170" s="9" t="s">
        <v>3</v>
      </c>
      <c r="F170" s="9" t="s">
        <v>3</v>
      </c>
      <c r="G170" s="9" t="s">
        <v>3</v>
      </c>
      <c r="H170" s="9" t="s">
        <v>3</v>
      </c>
      <c r="I170" s="9" t="s">
        <v>11</v>
      </c>
      <c r="J170" s="9" t="s">
        <v>11</v>
      </c>
      <c r="K170" s="9" t="s">
        <v>3</v>
      </c>
      <c r="L170" s="9" t="s">
        <v>3</v>
      </c>
      <c r="M170" s="9" t="s">
        <v>8</v>
      </c>
      <c r="N170" s="9" t="s">
        <v>3</v>
      </c>
      <c r="O170" s="9" t="s">
        <v>3</v>
      </c>
      <c r="P170" s="9" t="s">
        <v>8</v>
      </c>
      <c r="Q170" s="9" t="s">
        <v>11</v>
      </c>
      <c r="R170" s="9" t="s">
        <v>3</v>
      </c>
      <c r="S170" s="9" t="s">
        <v>3</v>
      </c>
      <c r="T170" s="9" t="s">
        <v>8</v>
      </c>
      <c r="U170" s="9" t="s">
        <v>3</v>
      </c>
      <c r="V170" s="9" t="s">
        <v>3</v>
      </c>
      <c r="W170" s="9" t="s">
        <v>11</v>
      </c>
      <c r="X170" s="9" t="s">
        <v>11</v>
      </c>
      <c r="Y170" s="9" t="s">
        <v>5</v>
      </c>
      <c r="Z170" s="9" t="s">
        <v>5</v>
      </c>
      <c r="AA170" s="9" t="s">
        <v>5</v>
      </c>
      <c r="AB170" s="47" t="s">
        <v>78</v>
      </c>
      <c r="AC170" s="47" t="s">
        <v>79</v>
      </c>
      <c r="AD170" s="9" t="s">
        <v>11</v>
      </c>
      <c r="AE170" s="9" t="s">
        <v>11</v>
      </c>
      <c r="AF170" s="9" t="s">
        <v>3</v>
      </c>
      <c r="AG170" s="9" t="s">
        <v>3</v>
      </c>
      <c r="AH170" s="9" t="s">
        <v>3</v>
      </c>
      <c r="AJ170" s="9">
        <f t="shared" si="43"/>
        <v>16</v>
      </c>
      <c r="AK170" s="9">
        <f t="shared" si="44"/>
        <v>0</v>
      </c>
      <c r="AL170" s="9">
        <f t="shared" si="45"/>
        <v>3</v>
      </c>
      <c r="AM170" s="9">
        <f t="shared" si="46"/>
        <v>0</v>
      </c>
      <c r="AN170" s="9">
        <f t="shared" si="47"/>
        <v>0</v>
      </c>
      <c r="AO170" s="9">
        <f t="shared" si="48"/>
        <v>3</v>
      </c>
    </row>
    <row r="171" s="1" customFormat="1" outlineLevel="1" spans="2:41">
      <c r="B171" s="8" t="s">
        <v>55</v>
      </c>
      <c r="C171" s="8" t="s">
        <v>17</v>
      </c>
      <c r="D171" s="9" t="s">
        <v>3</v>
      </c>
      <c r="E171" s="9" t="s">
        <v>3</v>
      </c>
      <c r="F171" s="9" t="s">
        <v>3</v>
      </c>
      <c r="G171" s="9" t="s">
        <v>3</v>
      </c>
      <c r="H171" s="9" t="s">
        <v>3</v>
      </c>
      <c r="I171" s="9" t="s">
        <v>11</v>
      </c>
      <c r="J171" s="9" t="s">
        <v>11</v>
      </c>
      <c r="K171" s="9" t="s">
        <v>3</v>
      </c>
      <c r="L171" s="9" t="s">
        <v>3</v>
      </c>
      <c r="M171" s="9" t="s">
        <v>3</v>
      </c>
      <c r="N171" s="9" t="s">
        <v>3</v>
      </c>
      <c r="O171" s="9" t="s">
        <v>3</v>
      </c>
      <c r="P171" s="9" t="s">
        <v>3</v>
      </c>
      <c r="Q171" s="9" t="s">
        <v>11</v>
      </c>
      <c r="R171" s="9" t="s">
        <v>3</v>
      </c>
      <c r="S171" s="9" t="s">
        <v>3</v>
      </c>
      <c r="T171" s="9" t="s">
        <v>3</v>
      </c>
      <c r="U171" s="9" t="s">
        <v>3</v>
      </c>
      <c r="V171" s="9" t="s">
        <v>3</v>
      </c>
      <c r="W171" s="9" t="s">
        <v>11</v>
      </c>
      <c r="X171" s="9" t="s">
        <v>11</v>
      </c>
      <c r="Y171" s="9" t="s">
        <v>3</v>
      </c>
      <c r="Z171" s="9" t="s">
        <v>3</v>
      </c>
      <c r="AA171" s="9" t="s">
        <v>3</v>
      </c>
      <c r="AB171" s="9" t="s">
        <v>78</v>
      </c>
      <c r="AC171" s="9" t="s">
        <v>79</v>
      </c>
      <c r="AD171" s="9" t="s">
        <v>11</v>
      </c>
      <c r="AE171" s="9" t="s">
        <v>11</v>
      </c>
      <c r="AF171" s="9" t="s">
        <v>3</v>
      </c>
      <c r="AG171" s="9" t="s">
        <v>3</v>
      </c>
      <c r="AH171" s="9" t="s">
        <v>3</v>
      </c>
      <c r="AJ171" s="9">
        <f t="shared" si="43"/>
        <v>22</v>
      </c>
      <c r="AK171" s="9">
        <f t="shared" si="44"/>
        <v>0</v>
      </c>
      <c r="AL171" s="9">
        <f t="shared" si="45"/>
        <v>0</v>
      </c>
      <c r="AM171" s="9">
        <f t="shared" si="46"/>
        <v>0</v>
      </c>
      <c r="AN171" s="9">
        <f t="shared" si="47"/>
        <v>0</v>
      </c>
      <c r="AO171" s="9">
        <f t="shared" si="48"/>
        <v>0</v>
      </c>
    </row>
    <row r="172" s="1" customFormat="1" outlineLevel="1" spans="2:41">
      <c r="B172" s="8" t="s">
        <v>56</v>
      </c>
      <c r="C172" s="8" t="s">
        <v>10</v>
      </c>
      <c r="D172" s="9" t="s">
        <v>3</v>
      </c>
      <c r="E172" s="9" t="s">
        <v>3</v>
      </c>
      <c r="F172" s="9" t="s">
        <v>3</v>
      </c>
      <c r="G172" s="9" t="s">
        <v>3</v>
      </c>
      <c r="H172" s="9" t="s">
        <v>3</v>
      </c>
      <c r="I172" s="9" t="s">
        <v>11</v>
      </c>
      <c r="J172" s="9" t="s">
        <v>11</v>
      </c>
      <c r="K172" s="9" t="s">
        <v>3</v>
      </c>
      <c r="L172" s="9" t="s">
        <v>3</v>
      </c>
      <c r="M172" s="9" t="s">
        <v>3</v>
      </c>
      <c r="N172" s="9" t="s">
        <v>3</v>
      </c>
      <c r="O172" s="9" t="s">
        <v>3</v>
      </c>
      <c r="P172" s="9" t="s">
        <v>3</v>
      </c>
      <c r="Q172" s="9" t="s">
        <v>11</v>
      </c>
      <c r="R172" s="9" t="s">
        <v>4</v>
      </c>
      <c r="S172" s="9" t="s">
        <v>4</v>
      </c>
      <c r="T172" s="9" t="s">
        <v>4</v>
      </c>
      <c r="U172" s="19" t="s">
        <v>4</v>
      </c>
      <c r="V172" s="9" t="s">
        <v>4</v>
      </c>
      <c r="W172" s="9" t="s">
        <v>4</v>
      </c>
      <c r="X172" s="9" t="s">
        <v>4</v>
      </c>
      <c r="Y172" s="9" t="s">
        <v>4</v>
      </c>
      <c r="Z172" s="9" t="s">
        <v>4</v>
      </c>
      <c r="AA172" s="9" t="s">
        <v>4</v>
      </c>
      <c r="AB172" s="9" t="s">
        <v>4</v>
      </c>
      <c r="AC172" s="9" t="s">
        <v>4</v>
      </c>
      <c r="AD172" s="9" t="s">
        <v>4</v>
      </c>
      <c r="AE172" s="9" t="s">
        <v>4</v>
      </c>
      <c r="AF172" s="9" t="s">
        <v>4</v>
      </c>
      <c r="AG172" s="9" t="s">
        <v>4</v>
      </c>
      <c r="AH172" s="9" t="s">
        <v>4</v>
      </c>
      <c r="AJ172" s="9">
        <f t="shared" si="43"/>
        <v>11</v>
      </c>
      <c r="AK172" s="9">
        <f t="shared" si="44"/>
        <v>17</v>
      </c>
      <c r="AL172" s="9">
        <f t="shared" si="45"/>
        <v>0</v>
      </c>
      <c r="AM172" s="9">
        <f t="shared" si="46"/>
        <v>0</v>
      </c>
      <c r="AN172" s="9">
        <f t="shared" si="47"/>
        <v>0</v>
      </c>
      <c r="AO172" s="9">
        <f t="shared" si="48"/>
        <v>0</v>
      </c>
    </row>
    <row r="173" s="1" customFormat="1" outlineLevel="1" spans="2:41">
      <c r="B173" s="8" t="s">
        <v>57</v>
      </c>
      <c r="C173" s="8" t="s">
        <v>10</v>
      </c>
      <c r="D173" s="9" t="s">
        <v>3</v>
      </c>
      <c r="E173" s="9" t="s">
        <v>3</v>
      </c>
      <c r="F173" s="9" t="s">
        <v>3</v>
      </c>
      <c r="G173" s="9" t="s">
        <v>3</v>
      </c>
      <c r="H173" s="9" t="s">
        <v>3</v>
      </c>
      <c r="I173" s="9" t="s">
        <v>11</v>
      </c>
      <c r="J173" s="9" t="s">
        <v>11</v>
      </c>
      <c r="K173" s="9" t="s">
        <v>3</v>
      </c>
      <c r="L173" s="9" t="s">
        <v>3</v>
      </c>
      <c r="M173" s="9" t="s">
        <v>8</v>
      </c>
      <c r="N173" s="9" t="s">
        <v>3</v>
      </c>
      <c r="O173" s="9" t="s">
        <v>5</v>
      </c>
      <c r="P173" s="9" t="s">
        <v>11</v>
      </c>
      <c r="Q173" s="9" t="s">
        <v>11</v>
      </c>
      <c r="R173" s="9" t="s">
        <v>3</v>
      </c>
      <c r="S173" s="9" t="s">
        <v>3</v>
      </c>
      <c r="T173" s="9" t="s">
        <v>8</v>
      </c>
      <c r="U173" s="9" t="s">
        <v>4</v>
      </c>
      <c r="V173" s="9" t="s">
        <v>4</v>
      </c>
      <c r="W173" s="9" t="s">
        <v>4</v>
      </c>
      <c r="X173" s="9" t="s">
        <v>4</v>
      </c>
      <c r="Y173" s="9" t="s">
        <v>4</v>
      </c>
      <c r="Z173" s="9" t="s">
        <v>4</v>
      </c>
      <c r="AA173" s="9" t="s">
        <v>4</v>
      </c>
      <c r="AB173" s="9" t="s">
        <v>4</v>
      </c>
      <c r="AC173" s="9" t="s">
        <v>4</v>
      </c>
      <c r="AD173" s="9" t="s">
        <v>4</v>
      </c>
      <c r="AE173" s="9" t="s">
        <v>4</v>
      </c>
      <c r="AF173" s="9" t="s">
        <v>4</v>
      </c>
      <c r="AG173" s="9" t="s">
        <v>4</v>
      </c>
      <c r="AH173" s="9" t="s">
        <v>4</v>
      </c>
      <c r="AJ173" s="9">
        <f t="shared" si="43"/>
        <v>10</v>
      </c>
      <c r="AK173" s="9">
        <f t="shared" si="44"/>
        <v>14</v>
      </c>
      <c r="AL173" s="9">
        <f t="shared" si="45"/>
        <v>1</v>
      </c>
      <c r="AM173" s="9">
        <f t="shared" si="46"/>
        <v>0</v>
      </c>
      <c r="AN173" s="9">
        <f t="shared" si="47"/>
        <v>0</v>
      </c>
      <c r="AO173" s="9">
        <f t="shared" si="48"/>
        <v>2</v>
      </c>
    </row>
    <row r="174" s="1" customFormat="1" outlineLevel="1" spans="2:41">
      <c r="B174" s="8" t="s">
        <v>58</v>
      </c>
      <c r="C174" s="8" t="s">
        <v>17</v>
      </c>
      <c r="D174" s="9" t="s">
        <v>3</v>
      </c>
      <c r="E174" s="9" t="s">
        <v>3</v>
      </c>
      <c r="F174" s="9" t="s">
        <v>3</v>
      </c>
      <c r="G174" s="9" t="s">
        <v>3</v>
      </c>
      <c r="H174" s="9" t="s">
        <v>3</v>
      </c>
      <c r="I174" s="9" t="s">
        <v>11</v>
      </c>
      <c r="J174" s="9" t="s">
        <v>11</v>
      </c>
      <c r="K174" s="9" t="s">
        <v>3</v>
      </c>
      <c r="L174" s="9" t="s">
        <v>3</v>
      </c>
      <c r="M174" s="9" t="s">
        <v>3</v>
      </c>
      <c r="N174" s="9" t="s">
        <v>3</v>
      </c>
      <c r="O174" s="9" t="s">
        <v>3</v>
      </c>
      <c r="P174" s="9" t="s">
        <v>3</v>
      </c>
      <c r="Q174" s="9" t="s">
        <v>11</v>
      </c>
      <c r="R174" s="9" t="s">
        <v>3</v>
      </c>
      <c r="S174" s="9" t="s">
        <v>3</v>
      </c>
      <c r="T174" s="9" t="s">
        <v>3</v>
      </c>
      <c r="U174" s="9" t="s">
        <v>3</v>
      </c>
      <c r="V174" s="9" t="s">
        <v>8</v>
      </c>
      <c r="W174" s="9" t="s">
        <v>11</v>
      </c>
      <c r="X174" s="9" t="s">
        <v>11</v>
      </c>
      <c r="Y174" s="9" t="s">
        <v>3</v>
      </c>
      <c r="Z174" s="9" t="s">
        <v>3</v>
      </c>
      <c r="AA174" s="9" t="s">
        <v>3</v>
      </c>
      <c r="AB174" s="9" t="s">
        <v>78</v>
      </c>
      <c r="AC174" s="9" t="s">
        <v>79</v>
      </c>
      <c r="AD174" s="9" t="s">
        <v>11</v>
      </c>
      <c r="AE174" s="9" t="s">
        <v>11</v>
      </c>
      <c r="AF174" s="9" t="s">
        <v>4</v>
      </c>
      <c r="AG174" s="9" t="s">
        <v>4</v>
      </c>
      <c r="AH174" s="9" t="s">
        <v>4</v>
      </c>
      <c r="AJ174" s="9">
        <f t="shared" si="43"/>
        <v>18</v>
      </c>
      <c r="AK174" s="9">
        <f t="shared" si="44"/>
        <v>3</v>
      </c>
      <c r="AL174" s="9">
        <f t="shared" si="45"/>
        <v>0</v>
      </c>
      <c r="AM174" s="9">
        <f t="shared" si="46"/>
        <v>0</v>
      </c>
      <c r="AN174" s="9">
        <f t="shared" si="47"/>
        <v>0</v>
      </c>
      <c r="AO174" s="9">
        <f t="shared" si="48"/>
        <v>1</v>
      </c>
    </row>
    <row r="175" s="1" customFormat="1" outlineLevel="1" spans="2:41">
      <c r="B175" s="8" t="s">
        <v>59</v>
      </c>
      <c r="C175" s="8" t="s">
        <v>10</v>
      </c>
      <c r="D175" s="9" t="s">
        <v>3</v>
      </c>
      <c r="E175" s="9" t="s">
        <v>3</v>
      </c>
      <c r="F175" s="9" t="s">
        <v>3</v>
      </c>
      <c r="G175" s="9" t="s">
        <v>3</v>
      </c>
      <c r="H175" s="9" t="s">
        <v>3</v>
      </c>
      <c r="I175" s="9" t="s">
        <v>11</v>
      </c>
      <c r="J175" s="9" t="s">
        <v>11</v>
      </c>
      <c r="K175" s="9" t="s">
        <v>3</v>
      </c>
      <c r="L175" s="9" t="s">
        <v>3</v>
      </c>
      <c r="M175" s="9" t="s">
        <v>3</v>
      </c>
      <c r="N175" s="9" t="s">
        <v>3</v>
      </c>
      <c r="O175" s="9" t="s">
        <v>3</v>
      </c>
      <c r="P175" s="9" t="s">
        <v>3</v>
      </c>
      <c r="Q175" s="9" t="s">
        <v>11</v>
      </c>
      <c r="R175" s="9" t="s">
        <v>3</v>
      </c>
      <c r="S175" s="9" t="s">
        <v>3</v>
      </c>
      <c r="T175" s="9" t="s">
        <v>3</v>
      </c>
      <c r="U175" s="9" t="s">
        <v>3</v>
      </c>
      <c r="V175" s="9" t="s">
        <v>3</v>
      </c>
      <c r="W175" s="9" t="s">
        <v>11</v>
      </c>
      <c r="X175" s="9" t="s">
        <v>11</v>
      </c>
      <c r="Y175" s="9" t="s">
        <v>3</v>
      </c>
      <c r="Z175" s="9" t="s">
        <v>3</v>
      </c>
      <c r="AA175" s="9" t="s">
        <v>3</v>
      </c>
      <c r="AB175" s="47" t="s">
        <v>78</v>
      </c>
      <c r="AC175" s="47" t="s">
        <v>79</v>
      </c>
      <c r="AD175" s="9" t="s">
        <v>11</v>
      </c>
      <c r="AE175" s="9" t="s">
        <v>11</v>
      </c>
      <c r="AF175" s="9" t="s">
        <v>3</v>
      </c>
      <c r="AG175" s="9" t="s">
        <v>3</v>
      </c>
      <c r="AH175" s="9" t="s">
        <v>3</v>
      </c>
      <c r="AJ175" s="9">
        <f t="shared" si="43"/>
        <v>22</v>
      </c>
      <c r="AK175" s="9">
        <f t="shared" si="44"/>
        <v>0</v>
      </c>
      <c r="AL175" s="9">
        <f t="shared" si="45"/>
        <v>0</v>
      </c>
      <c r="AM175" s="9">
        <f t="shared" si="46"/>
        <v>0</v>
      </c>
      <c r="AN175" s="9">
        <f t="shared" si="47"/>
        <v>0</v>
      </c>
      <c r="AO175" s="9">
        <f t="shared" si="48"/>
        <v>0</v>
      </c>
    </row>
    <row r="176" s="1" customFormat="1" outlineLevel="1" spans="2:41">
      <c r="B176" s="8" t="s">
        <v>60</v>
      </c>
      <c r="C176" s="8" t="s">
        <v>17</v>
      </c>
      <c r="D176" s="44" t="s">
        <v>6</v>
      </c>
      <c r="E176" s="9" t="s">
        <v>6</v>
      </c>
      <c r="F176" s="9" t="s">
        <v>6</v>
      </c>
      <c r="G176" s="9" t="s">
        <v>5</v>
      </c>
      <c r="H176" s="22" t="s">
        <v>7</v>
      </c>
      <c r="I176" s="9" t="s">
        <v>11</v>
      </c>
      <c r="J176" s="9" t="s">
        <v>11</v>
      </c>
      <c r="K176" s="9" t="s">
        <v>3</v>
      </c>
      <c r="L176" s="9" t="s">
        <v>3</v>
      </c>
      <c r="M176" s="9" t="s">
        <v>8</v>
      </c>
      <c r="N176" s="9" t="s">
        <v>3</v>
      </c>
      <c r="O176" s="9" t="s">
        <v>8</v>
      </c>
      <c r="P176" s="9" t="s">
        <v>5</v>
      </c>
      <c r="Q176" s="9" t="s">
        <v>11</v>
      </c>
      <c r="R176" s="9" t="s">
        <v>3</v>
      </c>
      <c r="S176" s="9" t="s">
        <v>3</v>
      </c>
      <c r="T176" s="9" t="s">
        <v>6</v>
      </c>
      <c r="U176" s="9" t="s">
        <v>6</v>
      </c>
      <c r="V176" s="9" t="s">
        <v>6</v>
      </c>
      <c r="W176" s="9" t="s">
        <v>11</v>
      </c>
      <c r="X176" s="9" t="s">
        <v>11</v>
      </c>
      <c r="Y176" s="9" t="s">
        <v>3</v>
      </c>
      <c r="Z176" s="9" t="s">
        <v>3</v>
      </c>
      <c r="AA176" s="9" t="s">
        <v>3</v>
      </c>
      <c r="AB176" s="9" t="s">
        <v>78</v>
      </c>
      <c r="AC176" s="9" t="s">
        <v>79</v>
      </c>
      <c r="AD176" s="9" t="s">
        <v>11</v>
      </c>
      <c r="AE176" s="9" t="s">
        <v>11</v>
      </c>
      <c r="AF176" s="9" t="s">
        <v>3</v>
      </c>
      <c r="AG176" s="9" t="s">
        <v>3</v>
      </c>
      <c r="AH176" s="9" t="s">
        <v>3</v>
      </c>
      <c r="AJ176" s="9">
        <f t="shared" si="43"/>
        <v>11</v>
      </c>
      <c r="AK176" s="9">
        <f t="shared" si="44"/>
        <v>0</v>
      </c>
      <c r="AL176" s="9">
        <f t="shared" si="45"/>
        <v>2</v>
      </c>
      <c r="AM176" s="9">
        <f t="shared" si="46"/>
        <v>6</v>
      </c>
      <c r="AN176" s="9">
        <f t="shared" si="47"/>
        <v>1</v>
      </c>
      <c r="AO176" s="9">
        <f t="shared" si="48"/>
        <v>2</v>
      </c>
    </row>
    <row r="177" s="1" customFormat="1" outlineLevel="1" spans="2:41">
      <c r="B177" s="8" t="s">
        <v>61</v>
      </c>
      <c r="C177" s="8" t="s">
        <v>15</v>
      </c>
      <c r="D177" s="9" t="s">
        <v>3</v>
      </c>
      <c r="E177" s="9" t="s">
        <v>3</v>
      </c>
      <c r="F177" s="9" t="s">
        <v>3</v>
      </c>
      <c r="G177" s="9" t="s">
        <v>3</v>
      </c>
      <c r="H177" s="9" t="s">
        <v>3</v>
      </c>
      <c r="I177" s="9" t="s">
        <v>11</v>
      </c>
      <c r="J177" s="9" t="s">
        <v>11</v>
      </c>
      <c r="K177" s="9" t="s">
        <v>3</v>
      </c>
      <c r="L177" s="9" t="s">
        <v>3</v>
      </c>
      <c r="M177" s="9" t="s">
        <v>3</v>
      </c>
      <c r="N177" s="9" t="s">
        <v>3</v>
      </c>
      <c r="O177" s="9" t="s">
        <v>3</v>
      </c>
      <c r="P177" s="9" t="s">
        <v>3</v>
      </c>
      <c r="Q177" s="9" t="s">
        <v>11</v>
      </c>
      <c r="R177" s="9" t="s">
        <v>3</v>
      </c>
      <c r="S177" s="9" t="s">
        <v>3</v>
      </c>
      <c r="T177" s="9" t="s">
        <v>3</v>
      </c>
      <c r="U177" s="9" t="s">
        <v>3</v>
      </c>
      <c r="V177" s="9" t="s">
        <v>3</v>
      </c>
      <c r="W177" s="9" t="s">
        <v>11</v>
      </c>
      <c r="X177" s="9" t="s">
        <v>11</v>
      </c>
      <c r="Y177" s="9" t="s">
        <v>3</v>
      </c>
      <c r="Z177" s="9" t="s">
        <v>3</v>
      </c>
      <c r="AA177" s="9" t="s">
        <v>3</v>
      </c>
      <c r="AB177" s="9" t="s">
        <v>78</v>
      </c>
      <c r="AC177" s="9" t="s">
        <v>79</v>
      </c>
      <c r="AD177" s="9" t="s">
        <v>11</v>
      </c>
      <c r="AE177" s="9" t="s">
        <v>11</v>
      </c>
      <c r="AF177" s="9" t="s">
        <v>3</v>
      </c>
      <c r="AG177" s="9" t="s">
        <v>3</v>
      </c>
      <c r="AH177" s="9" t="s">
        <v>3</v>
      </c>
      <c r="AJ177" s="9">
        <f t="shared" si="43"/>
        <v>22</v>
      </c>
      <c r="AK177" s="9">
        <f t="shared" si="44"/>
        <v>0</v>
      </c>
      <c r="AL177" s="9">
        <f t="shared" si="45"/>
        <v>0</v>
      </c>
      <c r="AM177" s="9">
        <f t="shared" si="46"/>
        <v>0</v>
      </c>
      <c r="AN177" s="9">
        <f t="shared" si="47"/>
        <v>0</v>
      </c>
      <c r="AO177" s="9">
        <f t="shared" si="48"/>
        <v>0</v>
      </c>
    </row>
    <row r="178" s="1" customFormat="1" outlineLevel="1" spans="2:41">
      <c r="B178" s="8" t="s">
        <v>62</v>
      </c>
      <c r="C178" s="8" t="s">
        <v>13</v>
      </c>
      <c r="D178" s="9" t="s">
        <v>6</v>
      </c>
      <c r="E178" s="9" t="s">
        <v>3</v>
      </c>
      <c r="F178" s="9" t="s">
        <v>3</v>
      </c>
      <c r="G178" s="9" t="s">
        <v>3</v>
      </c>
      <c r="H178" s="9" t="s">
        <v>3</v>
      </c>
      <c r="I178" s="9" t="s">
        <v>11</v>
      </c>
      <c r="J178" s="9" t="s">
        <v>11</v>
      </c>
      <c r="K178" s="9" t="s">
        <v>3</v>
      </c>
      <c r="L178" s="9" t="s">
        <v>3</v>
      </c>
      <c r="M178" s="9" t="s">
        <v>3</v>
      </c>
      <c r="N178" s="9" t="s">
        <v>3</v>
      </c>
      <c r="O178" s="9" t="s">
        <v>3</v>
      </c>
      <c r="P178" s="9" t="s">
        <v>5</v>
      </c>
      <c r="Q178" s="9" t="s">
        <v>11</v>
      </c>
      <c r="R178" s="9" t="s">
        <v>3</v>
      </c>
      <c r="S178" s="9" t="s">
        <v>3</v>
      </c>
      <c r="T178" s="9" t="s">
        <v>8</v>
      </c>
      <c r="U178" s="9" t="s">
        <v>3</v>
      </c>
      <c r="V178" s="9" t="s">
        <v>3</v>
      </c>
      <c r="W178" s="9" t="s">
        <v>11</v>
      </c>
      <c r="X178" s="9" t="s">
        <v>11</v>
      </c>
      <c r="Y178" s="9" t="s">
        <v>3</v>
      </c>
      <c r="Z178" s="9" t="s">
        <v>3</v>
      </c>
      <c r="AA178" s="9" t="s">
        <v>3</v>
      </c>
      <c r="AB178" s="9" t="s">
        <v>78</v>
      </c>
      <c r="AC178" s="9" t="s">
        <v>78</v>
      </c>
      <c r="AD178" s="9" t="s">
        <v>11</v>
      </c>
      <c r="AE178" s="9" t="s">
        <v>11</v>
      </c>
      <c r="AF178" s="9" t="s">
        <v>3</v>
      </c>
      <c r="AG178" s="9" t="s">
        <v>3</v>
      </c>
      <c r="AH178" s="9" t="s">
        <v>3</v>
      </c>
      <c r="AJ178" s="9">
        <f t="shared" si="43"/>
        <v>19</v>
      </c>
      <c r="AK178" s="9">
        <f t="shared" si="44"/>
        <v>0</v>
      </c>
      <c r="AL178" s="9">
        <f t="shared" si="45"/>
        <v>1</v>
      </c>
      <c r="AM178" s="9">
        <f t="shared" si="46"/>
        <v>1</v>
      </c>
      <c r="AN178" s="9">
        <f t="shared" si="47"/>
        <v>0</v>
      </c>
      <c r="AO178" s="9">
        <f t="shared" si="48"/>
        <v>1</v>
      </c>
    </row>
    <row r="179" s="1" customFormat="1" outlineLevel="1" spans="2:41">
      <c r="B179" s="8" t="s">
        <v>63</v>
      </c>
      <c r="C179" s="8" t="s">
        <v>10</v>
      </c>
      <c r="D179" s="9" t="s">
        <v>3</v>
      </c>
      <c r="E179" s="9" t="s">
        <v>3</v>
      </c>
      <c r="F179" s="9" t="s">
        <v>3</v>
      </c>
      <c r="G179" s="9" t="s">
        <v>3</v>
      </c>
      <c r="H179" s="9" t="s">
        <v>3</v>
      </c>
      <c r="I179" s="9" t="s">
        <v>11</v>
      </c>
      <c r="J179" s="9" t="s">
        <v>11</v>
      </c>
      <c r="K179" s="9" t="s">
        <v>3</v>
      </c>
      <c r="L179" s="9" t="s">
        <v>3</v>
      </c>
      <c r="M179" s="9" t="s">
        <v>3</v>
      </c>
      <c r="N179" s="9" t="s">
        <v>3</v>
      </c>
      <c r="O179" s="9" t="s">
        <v>3</v>
      </c>
      <c r="P179" s="9" t="s">
        <v>3</v>
      </c>
      <c r="Q179" s="9" t="s">
        <v>11</v>
      </c>
      <c r="R179" s="9" t="s">
        <v>3</v>
      </c>
      <c r="S179" s="9" t="s">
        <v>3</v>
      </c>
      <c r="T179" s="9" t="s">
        <v>3</v>
      </c>
      <c r="U179" s="9" t="s">
        <v>3</v>
      </c>
      <c r="V179" s="9" t="s">
        <v>3</v>
      </c>
      <c r="W179" s="9" t="s">
        <v>11</v>
      </c>
      <c r="X179" s="9" t="s">
        <v>11</v>
      </c>
      <c r="Y179" s="9" t="s">
        <v>3</v>
      </c>
      <c r="Z179" s="9" t="s">
        <v>3</v>
      </c>
      <c r="AA179" s="9" t="s">
        <v>82</v>
      </c>
      <c r="AB179" s="47" t="s">
        <v>78</v>
      </c>
      <c r="AC179" s="47" t="s">
        <v>79</v>
      </c>
      <c r="AD179" s="9" t="s">
        <v>11</v>
      </c>
      <c r="AE179" s="9" t="s">
        <v>11</v>
      </c>
      <c r="AF179" s="9" t="s">
        <v>3</v>
      </c>
      <c r="AG179" s="9"/>
      <c r="AH179" s="9"/>
      <c r="AJ179" s="9">
        <f t="shared" si="43"/>
        <v>19</v>
      </c>
      <c r="AK179" s="9">
        <f t="shared" si="44"/>
        <v>0</v>
      </c>
      <c r="AL179" s="9">
        <f t="shared" si="45"/>
        <v>0</v>
      </c>
      <c r="AM179" s="9">
        <f t="shared" si="46"/>
        <v>0</v>
      </c>
      <c r="AN179" s="9">
        <f t="shared" si="47"/>
        <v>0</v>
      </c>
      <c r="AO179" s="9">
        <f t="shared" si="48"/>
        <v>0</v>
      </c>
    </row>
    <row r="180" s="1" customFormat="1" outlineLevel="1" spans="2:41">
      <c r="B180" s="8" t="s">
        <v>64</v>
      </c>
      <c r="C180" s="8" t="s">
        <v>17</v>
      </c>
      <c r="D180" s="9" t="s">
        <v>3</v>
      </c>
      <c r="E180" s="9" t="s">
        <v>3</v>
      </c>
      <c r="F180" s="9" t="s">
        <v>3</v>
      </c>
      <c r="G180" s="9" t="s">
        <v>3</v>
      </c>
      <c r="H180" s="9" t="s">
        <v>6</v>
      </c>
      <c r="I180" s="9" t="s">
        <v>11</v>
      </c>
      <c r="J180" s="9" t="s">
        <v>11</v>
      </c>
      <c r="K180" s="9" t="s">
        <v>3</v>
      </c>
      <c r="L180" s="9" t="s">
        <v>3</v>
      </c>
      <c r="M180" s="9" t="s">
        <v>8</v>
      </c>
      <c r="N180" s="9" t="s">
        <v>3</v>
      </c>
      <c r="O180" s="9" t="s">
        <v>3</v>
      </c>
      <c r="P180" s="9" t="s">
        <v>11</v>
      </c>
      <c r="Q180" s="9" t="s">
        <v>11</v>
      </c>
      <c r="R180" s="9" t="s">
        <v>3</v>
      </c>
      <c r="S180" s="9" t="s">
        <v>3</v>
      </c>
      <c r="T180" s="9" t="s">
        <v>6</v>
      </c>
      <c r="U180" s="9" t="s">
        <v>6</v>
      </c>
      <c r="V180" s="9" t="s">
        <v>6</v>
      </c>
      <c r="W180" s="9" t="s">
        <v>11</v>
      </c>
      <c r="X180" s="9" t="s">
        <v>11</v>
      </c>
      <c r="Y180" s="9" t="s">
        <v>4</v>
      </c>
      <c r="Z180" s="9" t="s">
        <v>4</v>
      </c>
      <c r="AA180" s="9" t="s">
        <v>4</v>
      </c>
      <c r="AB180" s="9" t="s">
        <v>4</v>
      </c>
      <c r="AC180" s="9" t="s">
        <v>4</v>
      </c>
      <c r="AD180" s="9" t="s">
        <v>4</v>
      </c>
      <c r="AE180" s="9" t="s">
        <v>4</v>
      </c>
      <c r="AF180" s="9" t="s">
        <v>4</v>
      </c>
      <c r="AG180" s="9" t="s">
        <v>4</v>
      </c>
      <c r="AH180" s="9" t="s">
        <v>4</v>
      </c>
      <c r="AJ180" s="9">
        <f t="shared" si="43"/>
        <v>10</v>
      </c>
      <c r="AK180" s="9">
        <f t="shared" si="44"/>
        <v>10</v>
      </c>
      <c r="AL180" s="9">
        <f t="shared" si="45"/>
        <v>0</v>
      </c>
      <c r="AM180" s="9">
        <f t="shared" si="46"/>
        <v>4</v>
      </c>
      <c r="AN180" s="9">
        <f t="shared" si="47"/>
        <v>0</v>
      </c>
      <c r="AO180" s="9">
        <f t="shared" si="48"/>
        <v>1</v>
      </c>
    </row>
    <row r="181" s="1" customFormat="1" outlineLevel="1" spans="2:41">
      <c r="B181" s="8" t="s">
        <v>65</v>
      </c>
      <c r="C181" s="8" t="s">
        <v>13</v>
      </c>
      <c r="D181" s="9" t="s">
        <v>3</v>
      </c>
      <c r="E181" s="9" t="s">
        <v>3</v>
      </c>
      <c r="F181" s="9" t="s">
        <v>3</v>
      </c>
      <c r="G181" s="9" t="s">
        <v>3</v>
      </c>
      <c r="H181" s="9" t="s">
        <v>3</v>
      </c>
      <c r="I181" s="9" t="s">
        <v>11</v>
      </c>
      <c r="J181" s="9" t="s">
        <v>11</v>
      </c>
      <c r="K181" s="9" t="s">
        <v>3</v>
      </c>
      <c r="L181" s="9" t="s">
        <v>3</v>
      </c>
      <c r="M181" s="9" t="s">
        <v>3</v>
      </c>
      <c r="N181" s="9" t="s">
        <v>3</v>
      </c>
      <c r="O181" s="9" t="s">
        <v>3</v>
      </c>
      <c r="P181" s="9" t="s">
        <v>3</v>
      </c>
      <c r="Q181" s="9" t="s">
        <v>11</v>
      </c>
      <c r="R181" s="9" t="s">
        <v>3</v>
      </c>
      <c r="S181" s="9" t="s">
        <v>3</v>
      </c>
      <c r="T181" s="9" t="s">
        <v>3</v>
      </c>
      <c r="U181" s="9" t="s">
        <v>3</v>
      </c>
      <c r="V181" s="9" t="s">
        <v>3</v>
      </c>
      <c r="W181" s="9" t="s">
        <v>11</v>
      </c>
      <c r="X181" s="9" t="s">
        <v>11</v>
      </c>
      <c r="Y181" s="9" t="s">
        <v>3</v>
      </c>
      <c r="Z181" s="9" t="s">
        <v>3</v>
      </c>
      <c r="AA181" s="9" t="s">
        <v>3</v>
      </c>
      <c r="AB181" s="9" t="s">
        <v>78</v>
      </c>
      <c r="AC181" s="9" t="s">
        <v>78</v>
      </c>
      <c r="AD181" s="9" t="s">
        <v>11</v>
      </c>
      <c r="AE181" s="9" t="s">
        <v>11</v>
      </c>
      <c r="AF181" s="9" t="s">
        <v>3</v>
      </c>
      <c r="AG181" s="9" t="s">
        <v>3</v>
      </c>
      <c r="AH181" s="9" t="s">
        <v>3</v>
      </c>
      <c r="AJ181" s="9">
        <f t="shared" si="43"/>
        <v>22</v>
      </c>
      <c r="AK181" s="9">
        <f t="shared" si="44"/>
        <v>0</v>
      </c>
      <c r="AL181" s="9">
        <f t="shared" si="45"/>
        <v>0</v>
      </c>
      <c r="AM181" s="9">
        <f t="shared" si="46"/>
        <v>0</v>
      </c>
      <c r="AN181" s="9">
        <f t="shared" si="47"/>
        <v>0</v>
      </c>
      <c r="AO181" s="9">
        <f t="shared" si="48"/>
        <v>0</v>
      </c>
    </row>
    <row r="182" s="1" customFormat="1" outlineLevel="1" spans="2:41">
      <c r="B182" s="8" t="s">
        <v>66</v>
      </c>
      <c r="C182" s="8" t="s">
        <v>10</v>
      </c>
      <c r="D182" s="9"/>
      <c r="E182" s="9"/>
      <c r="F182" s="9"/>
      <c r="G182" s="9"/>
      <c r="H182" s="9"/>
      <c r="I182" s="9" t="s">
        <v>11</v>
      </c>
      <c r="J182" s="9" t="s">
        <v>11</v>
      </c>
      <c r="K182" s="9"/>
      <c r="L182" s="9"/>
      <c r="M182" s="9"/>
      <c r="N182" s="9"/>
      <c r="O182" s="9"/>
      <c r="P182" s="9"/>
      <c r="Q182" s="9" t="s">
        <v>11</v>
      </c>
      <c r="R182" s="9"/>
      <c r="S182" s="9"/>
      <c r="T182" s="9"/>
      <c r="U182" s="9" t="s">
        <v>3</v>
      </c>
      <c r="V182" s="9" t="s">
        <v>3</v>
      </c>
      <c r="W182" s="9" t="s">
        <v>11</v>
      </c>
      <c r="X182" s="9" t="s">
        <v>11</v>
      </c>
      <c r="Y182" s="9" t="s">
        <v>3</v>
      </c>
      <c r="Z182" s="9" t="s">
        <v>3</v>
      </c>
      <c r="AA182" s="9" t="s">
        <v>82</v>
      </c>
      <c r="AB182" s="47" t="s">
        <v>78</v>
      </c>
      <c r="AC182" s="47" t="s">
        <v>79</v>
      </c>
      <c r="AD182" s="9" t="s">
        <v>11</v>
      </c>
      <c r="AE182" s="9" t="s">
        <v>11</v>
      </c>
      <c r="AF182" s="9" t="s">
        <v>3</v>
      </c>
      <c r="AG182" s="9"/>
      <c r="AH182" s="9"/>
      <c r="AJ182" s="9">
        <f t="shared" si="43"/>
        <v>5</v>
      </c>
      <c r="AK182" s="9">
        <f t="shared" si="44"/>
        <v>0</v>
      </c>
      <c r="AL182" s="9">
        <f t="shared" si="45"/>
        <v>0</v>
      </c>
      <c r="AM182" s="9">
        <f t="shared" si="46"/>
        <v>0</v>
      </c>
      <c r="AN182" s="9">
        <f t="shared" si="47"/>
        <v>0</v>
      </c>
      <c r="AO182" s="9">
        <f t="shared" si="48"/>
        <v>0</v>
      </c>
    </row>
    <row r="183" s="1" customFormat="1" outlineLevel="1" spans="2:41">
      <c r="B183" s="10"/>
      <c r="C183" s="1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J183" s="9">
        <f t="shared" si="43"/>
        <v>0</v>
      </c>
      <c r="AK183" s="9">
        <f t="shared" si="44"/>
        <v>0</v>
      </c>
      <c r="AL183" s="9">
        <f t="shared" si="45"/>
        <v>0</v>
      </c>
      <c r="AM183" s="9">
        <f t="shared" si="46"/>
        <v>0</v>
      </c>
      <c r="AN183" s="9">
        <f t="shared" si="47"/>
        <v>0</v>
      </c>
      <c r="AO183" s="9">
        <f t="shared" si="48"/>
        <v>0</v>
      </c>
    </row>
    <row r="184" s="1" customFormat="1" outlineLevel="1" spans="2:41">
      <c r="B184" s="12"/>
      <c r="C184" s="1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J184" s="9">
        <f t="shared" si="43"/>
        <v>0</v>
      </c>
      <c r="AK184" s="9">
        <f t="shared" si="44"/>
        <v>0</v>
      </c>
      <c r="AL184" s="9">
        <f t="shared" si="45"/>
        <v>0</v>
      </c>
      <c r="AM184" s="9">
        <f t="shared" si="46"/>
        <v>0</v>
      </c>
      <c r="AN184" s="9">
        <f t="shared" si="47"/>
        <v>0</v>
      </c>
      <c r="AO184" s="9">
        <f t="shared" si="48"/>
        <v>0</v>
      </c>
    </row>
    <row r="185" s="1" customFormat="1" outlineLevel="1" spans="2:41">
      <c r="B185" s="13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J185" s="9">
        <f t="shared" si="43"/>
        <v>0</v>
      </c>
      <c r="AK185" s="9">
        <f t="shared" si="44"/>
        <v>0</v>
      </c>
      <c r="AL185" s="9">
        <f t="shared" si="45"/>
        <v>0</v>
      </c>
      <c r="AM185" s="9">
        <f t="shared" si="46"/>
        <v>0</v>
      </c>
      <c r="AN185" s="9">
        <f t="shared" si="47"/>
        <v>0</v>
      </c>
      <c r="AO185" s="9">
        <f t="shared" si="48"/>
        <v>0</v>
      </c>
    </row>
    <row r="186" s="2" customFormat="1" ht="12" customHeight="1" outlineLevel="1" spans="2:41"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J186" s="15"/>
      <c r="AK186" s="15"/>
      <c r="AL186" s="15"/>
      <c r="AM186" s="15"/>
      <c r="AN186" s="15"/>
      <c r="AO186" s="15"/>
    </row>
    <row r="187" outlineLevel="1" spans="2:34">
      <c r="B187" s="25" t="s">
        <v>67</v>
      </c>
      <c r="C187" s="25"/>
      <c r="D187" s="18">
        <f t="shared" ref="D187:AH187" si="49">COUNTIF(D131:D185,"P")</f>
        <v>41</v>
      </c>
      <c r="E187" s="18">
        <f t="shared" si="49"/>
        <v>45</v>
      </c>
      <c r="F187" s="18">
        <f t="shared" si="49"/>
        <v>43</v>
      </c>
      <c r="G187" s="18">
        <f t="shared" si="49"/>
        <v>43</v>
      </c>
      <c r="H187" s="18">
        <f t="shared" si="49"/>
        <v>42</v>
      </c>
      <c r="I187" s="18">
        <f t="shared" si="49"/>
        <v>0</v>
      </c>
      <c r="J187" s="18">
        <f t="shared" si="49"/>
        <v>0</v>
      </c>
      <c r="K187" s="18">
        <f t="shared" si="49"/>
        <v>43</v>
      </c>
      <c r="L187" s="18">
        <f t="shared" si="49"/>
        <v>47</v>
      </c>
      <c r="M187" s="18">
        <f t="shared" si="49"/>
        <v>43</v>
      </c>
      <c r="N187" s="18">
        <f t="shared" si="49"/>
        <v>46</v>
      </c>
      <c r="O187" s="18">
        <f t="shared" si="49"/>
        <v>46</v>
      </c>
      <c r="P187" s="18">
        <f t="shared" si="49"/>
        <v>34</v>
      </c>
      <c r="Q187" s="18">
        <f t="shared" si="49"/>
        <v>0</v>
      </c>
      <c r="R187" s="18">
        <f t="shared" si="49"/>
        <v>46</v>
      </c>
      <c r="S187" s="18">
        <f t="shared" si="49"/>
        <v>46</v>
      </c>
      <c r="T187" s="18">
        <f t="shared" si="49"/>
        <v>41</v>
      </c>
      <c r="U187" s="18">
        <f t="shared" si="49"/>
        <v>44</v>
      </c>
      <c r="V187" s="18">
        <f t="shared" si="49"/>
        <v>40</v>
      </c>
      <c r="W187" s="18">
        <f t="shared" si="49"/>
        <v>0</v>
      </c>
      <c r="X187" s="18">
        <f t="shared" si="49"/>
        <v>0</v>
      </c>
      <c r="Y187" s="18">
        <f t="shared" si="49"/>
        <v>44</v>
      </c>
      <c r="Z187" s="18">
        <f t="shared" si="49"/>
        <v>42</v>
      </c>
      <c r="AA187" s="18">
        <f t="shared" si="49"/>
        <v>33</v>
      </c>
      <c r="AB187" s="18">
        <f t="shared" si="49"/>
        <v>0</v>
      </c>
      <c r="AC187" s="18">
        <f t="shared" si="49"/>
        <v>0</v>
      </c>
      <c r="AD187" s="18">
        <f t="shared" si="49"/>
        <v>0</v>
      </c>
      <c r="AE187" s="18">
        <f t="shared" si="49"/>
        <v>0</v>
      </c>
      <c r="AF187" s="18">
        <f t="shared" si="49"/>
        <v>42</v>
      </c>
      <c r="AG187" s="18">
        <f t="shared" si="49"/>
        <v>40</v>
      </c>
      <c r="AH187" s="18">
        <f t="shared" si="49"/>
        <v>33</v>
      </c>
    </row>
    <row r="188" outlineLevel="1" spans="2:34">
      <c r="B188" s="26" t="s">
        <v>68</v>
      </c>
      <c r="C188" s="26"/>
      <c r="D188" s="20">
        <f t="shared" ref="D188:AH188" si="50">COUNTIF(D131:D185,"FI")</f>
        <v>0</v>
      </c>
      <c r="E188" s="20">
        <f t="shared" si="50"/>
        <v>0</v>
      </c>
      <c r="F188" s="20">
        <f t="shared" si="50"/>
        <v>0</v>
      </c>
      <c r="G188" s="20">
        <f t="shared" si="50"/>
        <v>1</v>
      </c>
      <c r="H188" s="20">
        <f t="shared" si="50"/>
        <v>0</v>
      </c>
      <c r="I188" s="20">
        <f t="shared" si="50"/>
        <v>0</v>
      </c>
      <c r="J188" s="20">
        <f t="shared" si="50"/>
        <v>0</v>
      </c>
      <c r="K188" s="20">
        <f t="shared" si="50"/>
        <v>1</v>
      </c>
      <c r="L188" s="20">
        <f t="shared" si="50"/>
        <v>0</v>
      </c>
      <c r="M188" s="20">
        <f t="shared" si="50"/>
        <v>0</v>
      </c>
      <c r="N188" s="20">
        <f t="shared" si="50"/>
        <v>0</v>
      </c>
      <c r="O188" s="20">
        <f t="shared" si="50"/>
        <v>1</v>
      </c>
      <c r="P188" s="20">
        <f t="shared" si="50"/>
        <v>9</v>
      </c>
      <c r="Q188" s="20">
        <f t="shared" si="50"/>
        <v>0</v>
      </c>
      <c r="R188" s="20">
        <f t="shared" si="50"/>
        <v>0</v>
      </c>
      <c r="S188" s="20">
        <f t="shared" si="50"/>
        <v>0</v>
      </c>
      <c r="T188" s="20">
        <f t="shared" si="50"/>
        <v>0</v>
      </c>
      <c r="U188" s="20">
        <f t="shared" si="50"/>
        <v>0</v>
      </c>
      <c r="V188" s="20">
        <f t="shared" si="50"/>
        <v>0</v>
      </c>
      <c r="W188" s="20">
        <f t="shared" si="50"/>
        <v>0</v>
      </c>
      <c r="X188" s="20">
        <f t="shared" si="50"/>
        <v>0</v>
      </c>
      <c r="Y188" s="20">
        <f t="shared" si="50"/>
        <v>2</v>
      </c>
      <c r="Z188" s="20">
        <f t="shared" si="50"/>
        <v>2</v>
      </c>
      <c r="AA188" s="20">
        <f t="shared" si="50"/>
        <v>7</v>
      </c>
      <c r="AB188" s="20">
        <f t="shared" si="50"/>
        <v>0</v>
      </c>
      <c r="AC188" s="20">
        <f t="shared" si="50"/>
        <v>0</v>
      </c>
      <c r="AD188" s="20">
        <f t="shared" si="50"/>
        <v>0</v>
      </c>
      <c r="AE188" s="20">
        <f t="shared" si="50"/>
        <v>0</v>
      </c>
      <c r="AF188" s="20">
        <f t="shared" si="50"/>
        <v>3</v>
      </c>
      <c r="AG188" s="20">
        <f t="shared" si="50"/>
        <v>2</v>
      </c>
      <c r="AH188" s="20">
        <f t="shared" si="50"/>
        <v>7</v>
      </c>
    </row>
    <row r="189" outlineLevel="1" spans="2:34">
      <c r="B189" s="27" t="s">
        <v>69</v>
      </c>
      <c r="C189" s="27"/>
      <c r="D189" s="19">
        <f t="shared" ref="D189:AH189" si="51">COUNTIF(D131:D185,"FE")</f>
        <v>1</v>
      </c>
      <c r="E189" s="19">
        <f t="shared" si="51"/>
        <v>1</v>
      </c>
      <c r="F189" s="19">
        <f t="shared" si="51"/>
        <v>1</v>
      </c>
      <c r="G189" s="19">
        <f t="shared" si="51"/>
        <v>1</v>
      </c>
      <c r="H189" s="19">
        <f t="shared" si="51"/>
        <v>1</v>
      </c>
      <c r="I189" s="19">
        <f t="shared" si="51"/>
        <v>1</v>
      </c>
      <c r="J189" s="19">
        <f t="shared" si="51"/>
        <v>1</v>
      </c>
      <c r="K189" s="19">
        <f t="shared" si="51"/>
        <v>1</v>
      </c>
      <c r="L189" s="19">
        <f t="shared" si="51"/>
        <v>1</v>
      </c>
      <c r="M189" s="19">
        <f t="shared" si="51"/>
        <v>1</v>
      </c>
      <c r="N189" s="19">
        <f t="shared" si="51"/>
        <v>1</v>
      </c>
      <c r="O189" s="19">
        <f t="shared" si="51"/>
        <v>1</v>
      </c>
      <c r="P189" s="19">
        <f t="shared" si="51"/>
        <v>1</v>
      </c>
      <c r="Q189" s="19">
        <f t="shared" si="51"/>
        <v>1</v>
      </c>
      <c r="R189" s="19">
        <f t="shared" si="51"/>
        <v>2</v>
      </c>
      <c r="S189" s="19">
        <f t="shared" si="51"/>
        <v>2</v>
      </c>
      <c r="T189" s="19">
        <f t="shared" si="51"/>
        <v>1</v>
      </c>
      <c r="U189" s="19">
        <f t="shared" si="51"/>
        <v>3</v>
      </c>
      <c r="V189" s="19">
        <f t="shared" si="51"/>
        <v>3</v>
      </c>
      <c r="W189" s="19">
        <f t="shared" si="51"/>
        <v>3</v>
      </c>
      <c r="X189" s="19">
        <f t="shared" si="51"/>
        <v>3</v>
      </c>
      <c r="Y189" s="19">
        <f t="shared" si="51"/>
        <v>4</v>
      </c>
      <c r="Z189" s="19">
        <f t="shared" si="51"/>
        <v>4</v>
      </c>
      <c r="AA189" s="19">
        <f t="shared" si="51"/>
        <v>4</v>
      </c>
      <c r="AB189" s="19">
        <f t="shared" si="51"/>
        <v>4</v>
      </c>
      <c r="AC189" s="19">
        <f t="shared" si="51"/>
        <v>4</v>
      </c>
      <c r="AD189" s="19">
        <f t="shared" si="51"/>
        <v>4</v>
      </c>
      <c r="AE189" s="19">
        <f t="shared" si="51"/>
        <v>4</v>
      </c>
      <c r="AF189" s="19">
        <f t="shared" si="51"/>
        <v>5</v>
      </c>
      <c r="AG189" s="19">
        <f t="shared" si="51"/>
        <v>5</v>
      </c>
      <c r="AH189" s="19">
        <f t="shared" si="51"/>
        <v>5</v>
      </c>
    </row>
    <row r="190" outlineLevel="1" spans="2:34">
      <c r="B190" s="45" t="s">
        <v>70</v>
      </c>
      <c r="C190" s="45"/>
      <c r="D190" s="44">
        <f t="shared" ref="D190:AH190" si="52">COUNTIF(D131:D185,"FJ")</f>
        <v>5</v>
      </c>
      <c r="E190" s="44">
        <f t="shared" si="52"/>
        <v>2</v>
      </c>
      <c r="F190" s="44">
        <f t="shared" si="52"/>
        <v>4</v>
      </c>
      <c r="G190" s="44">
        <f t="shared" si="52"/>
        <v>3</v>
      </c>
      <c r="H190" s="44">
        <f t="shared" si="52"/>
        <v>4</v>
      </c>
      <c r="I190" s="44">
        <f t="shared" si="52"/>
        <v>0</v>
      </c>
      <c r="J190" s="44">
        <f t="shared" si="52"/>
        <v>0</v>
      </c>
      <c r="K190" s="44">
        <f t="shared" si="52"/>
        <v>4</v>
      </c>
      <c r="L190" s="44">
        <f t="shared" si="52"/>
        <v>1</v>
      </c>
      <c r="M190" s="44">
        <f t="shared" si="52"/>
        <v>1</v>
      </c>
      <c r="N190" s="44">
        <f t="shared" si="52"/>
        <v>1</v>
      </c>
      <c r="O190" s="44">
        <f t="shared" si="52"/>
        <v>0</v>
      </c>
      <c r="P190" s="44">
        <f t="shared" si="52"/>
        <v>2</v>
      </c>
      <c r="Q190" s="44">
        <f t="shared" si="52"/>
        <v>0</v>
      </c>
      <c r="R190" s="44">
        <f t="shared" si="52"/>
        <v>1</v>
      </c>
      <c r="S190" s="44">
        <f t="shared" si="52"/>
        <v>1</v>
      </c>
      <c r="T190" s="44">
        <f t="shared" si="52"/>
        <v>3</v>
      </c>
      <c r="U190" s="44">
        <f t="shared" si="52"/>
        <v>3</v>
      </c>
      <c r="V190" s="44">
        <f t="shared" si="52"/>
        <v>3</v>
      </c>
      <c r="W190" s="44">
        <f t="shared" si="52"/>
        <v>0</v>
      </c>
      <c r="X190" s="44">
        <f t="shared" si="52"/>
        <v>0</v>
      </c>
      <c r="Y190" s="44">
        <f t="shared" si="52"/>
        <v>1</v>
      </c>
      <c r="Z190" s="44">
        <f t="shared" si="52"/>
        <v>1</v>
      </c>
      <c r="AA190" s="44">
        <f t="shared" si="52"/>
        <v>1</v>
      </c>
      <c r="AB190" s="44">
        <f t="shared" si="52"/>
        <v>1</v>
      </c>
      <c r="AC190" s="44">
        <f t="shared" si="52"/>
        <v>1</v>
      </c>
      <c r="AD190" s="44">
        <f t="shared" si="52"/>
        <v>1</v>
      </c>
      <c r="AE190" s="44">
        <f t="shared" si="52"/>
        <v>1</v>
      </c>
      <c r="AF190" s="44">
        <f t="shared" si="52"/>
        <v>1</v>
      </c>
      <c r="AG190" s="44">
        <f t="shared" si="52"/>
        <v>1</v>
      </c>
      <c r="AH190" s="44">
        <f t="shared" si="52"/>
        <v>1</v>
      </c>
    </row>
    <row r="191" outlineLevel="1" spans="2:34">
      <c r="B191" s="29" t="s">
        <v>71</v>
      </c>
      <c r="C191" s="29"/>
      <c r="D191" s="46">
        <f t="shared" ref="D191:AH191" si="53">COUNTIF(D131:D185,"DSR")</f>
        <v>0</v>
      </c>
      <c r="E191" s="46">
        <f t="shared" si="53"/>
        <v>0</v>
      </c>
      <c r="F191" s="46">
        <f t="shared" si="53"/>
        <v>0</v>
      </c>
      <c r="G191" s="46">
        <f t="shared" si="53"/>
        <v>0</v>
      </c>
      <c r="H191" s="46">
        <f t="shared" si="53"/>
        <v>0</v>
      </c>
      <c r="I191" s="46">
        <f t="shared" si="53"/>
        <v>50</v>
      </c>
      <c r="J191" s="46">
        <f t="shared" si="53"/>
        <v>50</v>
      </c>
      <c r="K191" s="46">
        <f t="shared" si="53"/>
        <v>0</v>
      </c>
      <c r="L191" s="46">
        <f t="shared" si="53"/>
        <v>0</v>
      </c>
      <c r="M191" s="46">
        <f t="shared" si="53"/>
        <v>0</v>
      </c>
      <c r="N191" s="46">
        <f t="shared" si="53"/>
        <v>0</v>
      </c>
      <c r="O191" s="46">
        <f t="shared" si="53"/>
        <v>0</v>
      </c>
      <c r="P191" s="46">
        <f t="shared" si="53"/>
        <v>2</v>
      </c>
      <c r="Q191" s="46">
        <f t="shared" si="53"/>
        <v>50</v>
      </c>
      <c r="R191" s="46">
        <f t="shared" si="53"/>
        <v>0</v>
      </c>
      <c r="S191" s="46">
        <f t="shared" si="53"/>
        <v>0</v>
      </c>
      <c r="T191" s="46">
        <f t="shared" si="53"/>
        <v>0</v>
      </c>
      <c r="U191" s="46">
        <f t="shared" si="53"/>
        <v>0</v>
      </c>
      <c r="V191" s="46">
        <f t="shared" si="53"/>
        <v>0</v>
      </c>
      <c r="W191" s="46">
        <f t="shared" si="53"/>
        <v>48</v>
      </c>
      <c r="X191" s="46">
        <f t="shared" si="53"/>
        <v>48</v>
      </c>
      <c r="Y191" s="46">
        <f t="shared" si="53"/>
        <v>0</v>
      </c>
      <c r="Z191" s="46">
        <f t="shared" si="53"/>
        <v>0</v>
      </c>
      <c r="AA191" s="46">
        <f t="shared" si="53"/>
        <v>0</v>
      </c>
      <c r="AB191" s="46">
        <f t="shared" si="53"/>
        <v>0</v>
      </c>
      <c r="AC191" s="46">
        <f t="shared" si="53"/>
        <v>0</v>
      </c>
      <c r="AD191" s="46">
        <f t="shared" si="53"/>
        <v>47</v>
      </c>
      <c r="AE191" s="46">
        <f t="shared" si="53"/>
        <v>47</v>
      </c>
      <c r="AF191" s="46">
        <f t="shared" si="53"/>
        <v>0</v>
      </c>
      <c r="AG191" s="46">
        <f t="shared" si="53"/>
        <v>0</v>
      </c>
      <c r="AH191" s="46">
        <f t="shared" si="53"/>
        <v>0</v>
      </c>
    </row>
    <row r="192" outlineLevel="1" spans="2:34">
      <c r="B192" s="30" t="s">
        <v>72</v>
      </c>
      <c r="C192" s="30"/>
      <c r="D192" s="22">
        <f t="shared" ref="D192:AH192" si="54">COUNTIF(D131:D185,"SC")</f>
        <v>0</v>
      </c>
      <c r="E192" s="22">
        <f t="shared" si="54"/>
        <v>0</v>
      </c>
      <c r="F192" s="22">
        <f t="shared" si="54"/>
        <v>0</v>
      </c>
      <c r="G192" s="22">
        <f t="shared" si="54"/>
        <v>0</v>
      </c>
      <c r="H192" s="22">
        <f t="shared" si="54"/>
        <v>0</v>
      </c>
      <c r="I192" s="22">
        <f t="shared" si="54"/>
        <v>0</v>
      </c>
      <c r="J192" s="22">
        <f t="shared" si="54"/>
        <v>0</v>
      </c>
      <c r="K192" s="22">
        <f t="shared" si="54"/>
        <v>0</v>
      </c>
      <c r="L192" s="22">
        <f t="shared" si="54"/>
        <v>0</v>
      </c>
      <c r="M192" s="22">
        <f t="shared" si="54"/>
        <v>4</v>
      </c>
      <c r="N192" s="22">
        <f t="shared" si="54"/>
        <v>0</v>
      </c>
      <c r="O192" s="22">
        <f t="shared" si="54"/>
        <v>1</v>
      </c>
      <c r="P192" s="22">
        <f t="shared" si="54"/>
        <v>1</v>
      </c>
      <c r="Q192" s="22">
        <f t="shared" si="54"/>
        <v>0</v>
      </c>
      <c r="R192" s="22">
        <f t="shared" si="54"/>
        <v>0</v>
      </c>
      <c r="S192" s="22">
        <f t="shared" si="54"/>
        <v>0</v>
      </c>
      <c r="T192" s="22">
        <f t="shared" si="54"/>
        <v>4</v>
      </c>
      <c r="U192" s="22">
        <f t="shared" si="54"/>
        <v>1</v>
      </c>
      <c r="V192" s="22">
        <f t="shared" si="54"/>
        <v>5</v>
      </c>
      <c r="W192" s="22">
        <f t="shared" si="54"/>
        <v>0</v>
      </c>
      <c r="X192" s="22">
        <f t="shared" si="54"/>
        <v>0</v>
      </c>
      <c r="Y192" s="22">
        <f t="shared" si="54"/>
        <v>0</v>
      </c>
      <c r="Z192" s="22">
        <f t="shared" si="54"/>
        <v>2</v>
      </c>
      <c r="AA192" s="22">
        <f t="shared" si="54"/>
        <v>0</v>
      </c>
      <c r="AB192" s="22">
        <f t="shared" si="54"/>
        <v>0</v>
      </c>
      <c r="AC192" s="22">
        <f t="shared" si="54"/>
        <v>0</v>
      </c>
      <c r="AD192" s="22">
        <f t="shared" si="54"/>
        <v>0</v>
      </c>
      <c r="AE192" s="22">
        <f t="shared" si="54"/>
        <v>0</v>
      </c>
      <c r="AF192" s="22">
        <f t="shared" si="54"/>
        <v>0</v>
      </c>
      <c r="AG192" s="22">
        <f t="shared" si="54"/>
        <v>2</v>
      </c>
      <c r="AH192" s="22">
        <f t="shared" si="54"/>
        <v>0</v>
      </c>
    </row>
    <row r="193" outlineLevel="1" spans="2:34">
      <c r="B193" s="30" t="s">
        <v>73</v>
      </c>
      <c r="C193" s="30"/>
      <c r="D193" s="22">
        <f t="shared" ref="D193:AH193" si="55">COUNTIF(D131:D185,"ET")</f>
        <v>1</v>
      </c>
      <c r="E193" s="22">
        <f t="shared" si="55"/>
        <v>0</v>
      </c>
      <c r="F193" s="22">
        <f t="shared" si="55"/>
        <v>0</v>
      </c>
      <c r="G193" s="22">
        <f t="shared" si="55"/>
        <v>0</v>
      </c>
      <c r="H193" s="22">
        <f t="shared" si="55"/>
        <v>1</v>
      </c>
      <c r="I193" s="22">
        <f t="shared" si="55"/>
        <v>0</v>
      </c>
      <c r="J193" s="22">
        <f t="shared" si="55"/>
        <v>0</v>
      </c>
      <c r="K193" s="22">
        <f t="shared" si="55"/>
        <v>0</v>
      </c>
      <c r="L193" s="22">
        <f t="shared" si="55"/>
        <v>0</v>
      </c>
      <c r="M193" s="22">
        <f t="shared" si="55"/>
        <v>0</v>
      </c>
      <c r="N193" s="22">
        <f t="shared" si="55"/>
        <v>1</v>
      </c>
      <c r="O193" s="22">
        <f t="shared" si="55"/>
        <v>0</v>
      </c>
      <c r="P193" s="22">
        <f t="shared" si="55"/>
        <v>0</v>
      </c>
      <c r="Q193" s="22">
        <f t="shared" si="55"/>
        <v>0</v>
      </c>
      <c r="R193" s="22">
        <f t="shared" si="55"/>
        <v>0</v>
      </c>
      <c r="S193" s="22">
        <f t="shared" si="55"/>
        <v>0</v>
      </c>
      <c r="T193" s="22">
        <f t="shared" si="55"/>
        <v>0</v>
      </c>
      <c r="U193" s="22">
        <f t="shared" si="55"/>
        <v>0</v>
      </c>
      <c r="V193" s="22">
        <f t="shared" si="55"/>
        <v>0</v>
      </c>
      <c r="W193" s="22">
        <f t="shared" si="55"/>
        <v>0</v>
      </c>
      <c r="X193" s="22">
        <f t="shared" si="55"/>
        <v>0</v>
      </c>
      <c r="Y193" s="22">
        <f t="shared" si="55"/>
        <v>0</v>
      </c>
      <c r="Z193" s="22">
        <f t="shared" si="55"/>
        <v>0</v>
      </c>
      <c r="AA193" s="22">
        <f t="shared" si="55"/>
        <v>1</v>
      </c>
      <c r="AB193" s="22">
        <f t="shared" si="55"/>
        <v>0</v>
      </c>
      <c r="AC193" s="22">
        <f t="shared" si="55"/>
        <v>0</v>
      </c>
      <c r="AD193" s="22">
        <f t="shared" si="55"/>
        <v>0</v>
      </c>
      <c r="AE193" s="22">
        <f t="shared" si="55"/>
        <v>0</v>
      </c>
      <c r="AF193" s="22">
        <f t="shared" si="55"/>
        <v>1</v>
      </c>
      <c r="AG193" s="22">
        <f t="shared" si="55"/>
        <v>0</v>
      </c>
      <c r="AH193" s="22">
        <f t="shared" si="55"/>
        <v>0</v>
      </c>
    </row>
    <row r="194" outlineLevel="1" spans="2:34">
      <c r="B194" s="16" t="s">
        <v>75</v>
      </c>
      <c r="C194" s="16"/>
      <c r="D194" s="31">
        <f t="shared" ref="D194:H194" si="56">D187/(SUM(D187:D188,D190,D192:D193))</f>
        <v>0.872340425531915</v>
      </c>
      <c r="E194" s="31">
        <f t="shared" si="56"/>
        <v>0.957446808510638</v>
      </c>
      <c r="F194" s="31">
        <f t="shared" si="56"/>
        <v>0.914893617021277</v>
      </c>
      <c r="G194" s="31">
        <f t="shared" si="56"/>
        <v>0.914893617021277</v>
      </c>
      <c r="H194" s="31">
        <f t="shared" si="56"/>
        <v>0.893617021276596</v>
      </c>
      <c r="I194" s="32">
        <v>0.86</v>
      </c>
      <c r="J194" s="32">
        <v>0.86</v>
      </c>
      <c r="K194" s="31">
        <f t="shared" ref="K194:P194" si="57">K187/(SUM(K187:K188,K190,K192:K193))</f>
        <v>0.895833333333333</v>
      </c>
      <c r="L194" s="31">
        <f t="shared" si="57"/>
        <v>0.979166666666667</v>
      </c>
      <c r="M194" s="31">
        <f t="shared" si="57"/>
        <v>0.895833333333333</v>
      </c>
      <c r="N194" s="31">
        <f t="shared" si="57"/>
        <v>0.958333333333333</v>
      </c>
      <c r="O194" s="31">
        <f t="shared" si="57"/>
        <v>0.958333333333333</v>
      </c>
      <c r="P194" s="31">
        <f t="shared" si="57"/>
        <v>0.739130434782609</v>
      </c>
      <c r="Q194" s="32">
        <v>0.71</v>
      </c>
      <c r="R194" s="31">
        <f t="shared" ref="R194:V194" si="58">R187/(SUM(R187:R188,R190,R192:R193))</f>
        <v>0.978723404255319</v>
      </c>
      <c r="S194" s="31">
        <f t="shared" si="58"/>
        <v>0.978723404255319</v>
      </c>
      <c r="T194" s="31">
        <f t="shared" si="58"/>
        <v>0.854166666666667</v>
      </c>
      <c r="U194" s="31">
        <f t="shared" si="58"/>
        <v>0.916666666666667</v>
      </c>
      <c r="V194" s="31">
        <f t="shared" si="58"/>
        <v>0.833333333333333</v>
      </c>
      <c r="W194" s="32">
        <v>0.82</v>
      </c>
      <c r="X194" s="32">
        <v>0.82</v>
      </c>
      <c r="Y194" s="31">
        <f t="shared" ref="Y194:AA194" si="59">Y187/(SUM(Y187:Y188,Y190,Y192:Y193))</f>
        <v>0.936170212765957</v>
      </c>
      <c r="Z194" s="31">
        <f t="shared" si="59"/>
        <v>0.893617021276596</v>
      </c>
      <c r="AA194" s="31">
        <f t="shared" si="59"/>
        <v>0.785714285714286</v>
      </c>
      <c r="AB194" s="32">
        <v>0.76</v>
      </c>
      <c r="AC194" s="32">
        <v>0.76</v>
      </c>
      <c r="AD194" s="32">
        <v>0.76</v>
      </c>
      <c r="AE194" s="32">
        <v>0.76</v>
      </c>
      <c r="AF194" s="31">
        <f t="shared" ref="AF194:AH194" si="60">AF187/(SUM(AF187:AF188,AF190,AF192:AF193))</f>
        <v>0.893617021276596</v>
      </c>
      <c r="AG194" s="31">
        <f t="shared" si="60"/>
        <v>0.888888888888889</v>
      </c>
      <c r="AH194" s="31">
        <f t="shared" si="60"/>
        <v>0.804878048780488</v>
      </c>
    </row>
    <row r="195" outlineLevel="1" spans="2:34">
      <c r="B195" s="16" t="s">
        <v>76</v>
      </c>
      <c r="C195" s="16"/>
      <c r="D195" s="31">
        <f t="shared" ref="D195:H195" si="61">1-D194</f>
        <v>0.127659574468085</v>
      </c>
      <c r="E195" s="31">
        <f t="shared" si="61"/>
        <v>0.0425531914893617</v>
      </c>
      <c r="F195" s="31">
        <f t="shared" si="61"/>
        <v>0.0851063829787234</v>
      </c>
      <c r="G195" s="31">
        <f t="shared" si="61"/>
        <v>0.0851063829787234</v>
      </c>
      <c r="H195" s="31">
        <f t="shared" si="61"/>
        <v>0.106382978723404</v>
      </c>
      <c r="I195" s="31"/>
      <c r="J195" s="31"/>
      <c r="K195" s="31">
        <f t="shared" ref="K195:P195" si="62">1-K194</f>
        <v>0.104166666666667</v>
      </c>
      <c r="L195" s="31">
        <f t="shared" si="62"/>
        <v>0.0208333333333334</v>
      </c>
      <c r="M195" s="31">
        <f t="shared" si="62"/>
        <v>0.104166666666667</v>
      </c>
      <c r="N195" s="31">
        <f t="shared" si="62"/>
        <v>0.0416666666666666</v>
      </c>
      <c r="O195" s="31">
        <f t="shared" si="62"/>
        <v>0.0416666666666666</v>
      </c>
      <c r="P195" s="31">
        <f t="shared" si="62"/>
        <v>0.260869565217391</v>
      </c>
      <c r="Q195" s="31"/>
      <c r="R195" s="31">
        <f t="shared" ref="R195:V195" si="63">1-R194</f>
        <v>0.0212765957446809</v>
      </c>
      <c r="S195" s="31">
        <f t="shared" si="63"/>
        <v>0.0212765957446809</v>
      </c>
      <c r="T195" s="31">
        <f t="shared" si="63"/>
        <v>0.145833333333333</v>
      </c>
      <c r="U195" s="31">
        <f t="shared" si="63"/>
        <v>0.0833333333333334</v>
      </c>
      <c r="V195" s="31">
        <f t="shared" si="63"/>
        <v>0.166666666666667</v>
      </c>
      <c r="W195" s="31"/>
      <c r="X195" s="31"/>
      <c r="Y195" s="31">
        <f t="shared" ref="Y195:AA195" si="64">1-Y194</f>
        <v>0.0638297872340425</v>
      </c>
      <c r="Z195" s="31">
        <f t="shared" si="64"/>
        <v>0.106382978723404</v>
      </c>
      <c r="AA195" s="31">
        <f t="shared" si="64"/>
        <v>0.214285714285714</v>
      </c>
      <c r="AB195" s="31"/>
      <c r="AC195" s="31"/>
      <c r="AD195" s="31"/>
      <c r="AE195" s="31"/>
      <c r="AF195" s="31">
        <f t="shared" ref="AF195:AH195" si="65">1-AF194</f>
        <v>0.106382978723404</v>
      </c>
      <c r="AG195" s="31">
        <f t="shared" si="65"/>
        <v>0.111111111111111</v>
      </c>
      <c r="AH195" s="31">
        <f t="shared" si="65"/>
        <v>0.195121951219512</v>
      </c>
    </row>
  </sheetData>
  <autoFilter xmlns:etc="http://www.wps.cn/officeDocument/2017/etCustomData" ref="B67:C195" etc:filterBottomFollowUsedRange="0">
    <extLst/>
  </autoFilter>
  <mergeCells count="37">
    <mergeCell ref="D1:AH1"/>
    <mergeCell ref="B58:C58"/>
    <mergeCell ref="B59:C59"/>
    <mergeCell ref="B60:C60"/>
    <mergeCell ref="B61:C61"/>
    <mergeCell ref="B62:C62"/>
    <mergeCell ref="B63:C63"/>
    <mergeCell ref="B64:C64"/>
    <mergeCell ref="B66:AH66"/>
    <mergeCell ref="AJ66:AO66"/>
    <mergeCell ref="B118:C118"/>
    <mergeCell ref="AJ118:AK118"/>
    <mergeCell ref="B119:C119"/>
    <mergeCell ref="AJ119:AK119"/>
    <mergeCell ref="B120:C120"/>
    <mergeCell ref="AJ120:AK120"/>
    <mergeCell ref="B121:C121"/>
    <mergeCell ref="AJ121:AK121"/>
    <mergeCell ref="B122:C122"/>
    <mergeCell ref="AJ122:AK122"/>
    <mergeCell ref="B123:C123"/>
    <mergeCell ref="AJ123:AK123"/>
    <mergeCell ref="B124:C124"/>
    <mergeCell ref="AJ124:AK124"/>
    <mergeCell ref="B125:C125"/>
    <mergeCell ref="B126:C126"/>
    <mergeCell ref="B129:AH129"/>
    <mergeCell ref="AJ129:AO129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</mergeCells>
  <conditionalFormatting sqref="D3">
    <cfRule type="cellIs" dxfId="0" priority="603" operator="equal">
      <formula>"DSR"</formula>
    </cfRule>
    <cfRule type="cellIs" dxfId="1" priority="602" operator="equal">
      <formula>"P"</formula>
    </cfRule>
    <cfRule type="cellIs" dxfId="2" priority="601" operator="equal">
      <formula>"FJ"</formula>
    </cfRule>
    <cfRule type="cellIs" dxfId="3" priority="600" operator="equal">
      <formula>"FI"</formula>
    </cfRule>
    <cfRule type="cellIs" dxfId="4" priority="599" operator="equal">
      <formula>"FE"</formula>
    </cfRule>
    <cfRule type="cellIs" dxfId="5" priority="598" operator="equal">
      <formula>"SC"</formula>
    </cfRule>
    <cfRule type="cellIs" dxfId="6" priority="597" operator="equal">
      <formula>"ET"</formula>
    </cfRule>
  </conditionalFormatting>
  <conditionalFormatting sqref="P4">
    <cfRule type="cellIs" dxfId="0" priority="1394" operator="equal">
      <formula>"DSR"</formula>
    </cfRule>
    <cfRule type="cellIs" dxfId="1" priority="1393" operator="equal">
      <formula>"P"</formula>
    </cfRule>
    <cfRule type="cellIs" dxfId="2" priority="1392" operator="equal">
      <formula>"FJ"</formula>
    </cfRule>
    <cfRule type="cellIs" dxfId="3" priority="1391" operator="equal">
      <formula>"FI"</formula>
    </cfRule>
    <cfRule type="cellIs" dxfId="4" priority="1390" operator="equal">
      <formula>"FE"</formula>
    </cfRule>
    <cfRule type="cellIs" dxfId="5" priority="1389" operator="equal">
      <formula>"SC"</formula>
    </cfRule>
    <cfRule type="cellIs" dxfId="6" priority="1388" operator="equal">
      <formula>"ET"</formula>
    </cfRule>
  </conditionalFormatting>
  <conditionalFormatting sqref="P5">
    <cfRule type="cellIs" dxfId="0" priority="1058" operator="equal">
      <formula>"DSR"</formula>
    </cfRule>
    <cfRule type="cellIs" dxfId="1" priority="1057" operator="equal">
      <formula>"P"</formula>
    </cfRule>
    <cfRule type="cellIs" dxfId="2" priority="1056" operator="equal">
      <formula>"FJ"</formula>
    </cfRule>
    <cfRule type="cellIs" dxfId="3" priority="1055" operator="equal">
      <formula>"FI"</formula>
    </cfRule>
    <cfRule type="cellIs" dxfId="4" priority="1054" operator="equal">
      <formula>"FE"</formula>
    </cfRule>
    <cfRule type="cellIs" dxfId="5" priority="1053" operator="equal">
      <formula>"SC"</formula>
    </cfRule>
    <cfRule type="cellIs" dxfId="6" priority="1052" operator="equal">
      <formula>"ET"</formula>
    </cfRule>
  </conditionalFormatting>
  <conditionalFormatting sqref="S5">
    <cfRule type="cellIs" dxfId="0" priority="1051" operator="equal">
      <formula>"DSR"</formula>
    </cfRule>
    <cfRule type="cellIs" dxfId="1" priority="1050" operator="equal">
      <formula>"P"</formula>
    </cfRule>
    <cfRule type="cellIs" dxfId="2" priority="1049" operator="equal">
      <formula>"FJ"</formula>
    </cfRule>
    <cfRule type="cellIs" dxfId="3" priority="1048" operator="equal">
      <formula>"FI"</formula>
    </cfRule>
    <cfRule type="cellIs" dxfId="4" priority="1047" operator="equal">
      <formula>"FE"</formula>
    </cfRule>
    <cfRule type="cellIs" dxfId="5" priority="1046" operator="equal">
      <formula>"SC"</formula>
    </cfRule>
    <cfRule type="cellIs" dxfId="6" priority="1045" operator="equal">
      <formula>"ET"</formula>
    </cfRule>
  </conditionalFormatting>
  <conditionalFormatting sqref="T5">
    <cfRule type="cellIs" dxfId="0" priority="1044" operator="equal">
      <formula>"DSR"</formula>
    </cfRule>
    <cfRule type="cellIs" dxfId="1" priority="1043" operator="equal">
      <formula>"P"</formula>
    </cfRule>
    <cfRule type="cellIs" dxfId="2" priority="1042" operator="equal">
      <formula>"FJ"</formula>
    </cfRule>
    <cfRule type="cellIs" dxfId="3" priority="1041" operator="equal">
      <formula>"FI"</formula>
    </cfRule>
    <cfRule type="cellIs" dxfId="4" priority="1040" operator="equal">
      <formula>"FE"</formula>
    </cfRule>
    <cfRule type="cellIs" dxfId="5" priority="1039" operator="equal">
      <formula>"SC"</formula>
    </cfRule>
    <cfRule type="cellIs" dxfId="6" priority="1038" operator="equal">
      <formula>"ET"</formula>
    </cfRule>
  </conditionalFormatting>
  <conditionalFormatting sqref="P6">
    <cfRule type="cellIs" dxfId="0" priority="1380" operator="equal">
      <formula>"DSR"</formula>
    </cfRule>
    <cfRule type="cellIs" dxfId="1" priority="1379" operator="equal">
      <formula>"P"</formula>
    </cfRule>
    <cfRule type="cellIs" dxfId="2" priority="1378" operator="equal">
      <formula>"FJ"</formula>
    </cfRule>
    <cfRule type="cellIs" dxfId="3" priority="1377" operator="equal">
      <formula>"FI"</formula>
    </cfRule>
    <cfRule type="cellIs" dxfId="4" priority="1376" operator="equal">
      <formula>"FE"</formula>
    </cfRule>
    <cfRule type="cellIs" dxfId="5" priority="1375" operator="equal">
      <formula>"SC"</formula>
    </cfRule>
    <cfRule type="cellIs" dxfId="6" priority="1374" operator="equal">
      <formula>"ET"</formula>
    </cfRule>
  </conditionalFormatting>
  <conditionalFormatting sqref="P7">
    <cfRule type="cellIs" dxfId="0" priority="1366" operator="equal">
      <formula>"DSR"</formula>
    </cfRule>
    <cfRule type="cellIs" dxfId="1" priority="1365" operator="equal">
      <formula>"P"</formula>
    </cfRule>
    <cfRule type="cellIs" dxfId="2" priority="1364" operator="equal">
      <formula>"FJ"</formula>
    </cfRule>
    <cfRule type="cellIs" dxfId="3" priority="1363" operator="equal">
      <formula>"FI"</formula>
    </cfRule>
    <cfRule type="cellIs" dxfId="4" priority="1362" operator="equal">
      <formula>"FE"</formula>
    </cfRule>
    <cfRule type="cellIs" dxfId="5" priority="1361" operator="equal">
      <formula>"SC"</formula>
    </cfRule>
    <cfRule type="cellIs" dxfId="6" priority="1360" operator="equal">
      <formula>"ET"</formula>
    </cfRule>
  </conditionalFormatting>
  <conditionalFormatting sqref="E8:G8">
    <cfRule type="cellIs" dxfId="0" priority="358" operator="equal">
      <formula>"DSR"</formula>
    </cfRule>
    <cfRule type="cellIs" dxfId="1" priority="357" operator="equal">
      <formula>"P"</formula>
    </cfRule>
    <cfRule type="cellIs" dxfId="2" priority="356" operator="equal">
      <formula>"FJ"</formula>
    </cfRule>
    <cfRule type="cellIs" dxfId="3" priority="355" operator="equal">
      <formula>"FI"</formula>
    </cfRule>
    <cfRule type="cellIs" dxfId="4" priority="354" operator="equal">
      <formula>"FE"</formula>
    </cfRule>
    <cfRule type="cellIs" dxfId="5" priority="353" operator="equal">
      <formula>"SC"</formula>
    </cfRule>
    <cfRule type="cellIs" dxfId="6" priority="352" operator="equal">
      <formula>"ET"</formula>
    </cfRule>
  </conditionalFormatting>
  <conditionalFormatting sqref="P8">
    <cfRule type="cellIs" dxfId="0" priority="1352" operator="equal">
      <formula>"DSR"</formula>
    </cfRule>
    <cfRule type="cellIs" dxfId="1" priority="1351" operator="equal">
      <formula>"P"</formula>
    </cfRule>
    <cfRule type="cellIs" dxfId="2" priority="1350" operator="equal">
      <formula>"FJ"</formula>
    </cfRule>
    <cfRule type="cellIs" dxfId="3" priority="1349" operator="equal">
      <formula>"FI"</formula>
    </cfRule>
    <cfRule type="cellIs" dxfId="4" priority="1348" operator="equal">
      <formula>"FE"</formula>
    </cfRule>
    <cfRule type="cellIs" dxfId="5" priority="1347" operator="equal">
      <formula>"SC"</formula>
    </cfRule>
    <cfRule type="cellIs" dxfId="6" priority="1346" operator="equal">
      <formula>"ET"</formula>
    </cfRule>
  </conditionalFormatting>
  <conditionalFormatting sqref="P12">
    <cfRule type="cellIs" dxfId="0" priority="1338" operator="equal">
      <formula>"DSR"</formula>
    </cfRule>
    <cfRule type="cellIs" dxfId="1" priority="1337" operator="equal">
      <formula>"P"</formula>
    </cfRule>
    <cfRule type="cellIs" dxfId="2" priority="1336" operator="equal">
      <formula>"FJ"</formula>
    </cfRule>
    <cfRule type="cellIs" dxfId="3" priority="1335" operator="equal">
      <formula>"FI"</formula>
    </cfRule>
    <cfRule type="cellIs" dxfId="4" priority="1334" operator="equal">
      <formula>"FE"</formula>
    </cfRule>
    <cfRule type="cellIs" dxfId="5" priority="1333" operator="equal">
      <formula>"SC"</formula>
    </cfRule>
    <cfRule type="cellIs" dxfId="6" priority="1332" operator="equal">
      <formula>"ET"</formula>
    </cfRule>
  </conditionalFormatting>
  <conditionalFormatting sqref="S13">
    <cfRule type="cellIs" dxfId="0" priority="1030" operator="equal">
      <formula>"DSR"</formula>
    </cfRule>
    <cfRule type="cellIs" dxfId="1" priority="1029" operator="equal">
      <formula>"P"</formula>
    </cfRule>
    <cfRule type="cellIs" dxfId="2" priority="1028" operator="equal">
      <formula>"FJ"</formula>
    </cfRule>
    <cfRule type="cellIs" dxfId="3" priority="1027" operator="equal">
      <formula>"FI"</formula>
    </cfRule>
    <cfRule type="cellIs" dxfId="4" priority="1026" operator="equal">
      <formula>"FE"</formula>
    </cfRule>
    <cfRule type="cellIs" dxfId="5" priority="1025" operator="equal">
      <formula>"SC"</formula>
    </cfRule>
    <cfRule type="cellIs" dxfId="6" priority="1024" operator="equal">
      <formula>"ET"</formula>
    </cfRule>
  </conditionalFormatting>
  <conditionalFormatting sqref="P14">
    <cfRule type="cellIs" dxfId="0" priority="1324" operator="equal">
      <formula>"DSR"</formula>
    </cfRule>
    <cfRule type="cellIs" dxfId="1" priority="1323" operator="equal">
      <formula>"P"</formula>
    </cfRule>
    <cfRule type="cellIs" dxfId="2" priority="1322" operator="equal">
      <formula>"FJ"</formula>
    </cfRule>
    <cfRule type="cellIs" dxfId="3" priority="1321" operator="equal">
      <formula>"FI"</formula>
    </cfRule>
    <cfRule type="cellIs" dxfId="4" priority="1320" operator="equal">
      <formula>"FE"</formula>
    </cfRule>
    <cfRule type="cellIs" dxfId="5" priority="1319" operator="equal">
      <formula>"SC"</formula>
    </cfRule>
    <cfRule type="cellIs" dxfId="6" priority="1318" operator="equal">
      <formula>"ET"</formula>
    </cfRule>
  </conditionalFormatting>
  <conditionalFormatting sqref="P16">
    <cfRule type="cellIs" dxfId="0" priority="1310" operator="equal">
      <formula>"DSR"</formula>
    </cfRule>
    <cfRule type="cellIs" dxfId="1" priority="1309" operator="equal">
      <formula>"P"</formula>
    </cfRule>
    <cfRule type="cellIs" dxfId="2" priority="1308" operator="equal">
      <formula>"FJ"</formula>
    </cfRule>
    <cfRule type="cellIs" dxfId="3" priority="1307" operator="equal">
      <formula>"FI"</formula>
    </cfRule>
    <cfRule type="cellIs" dxfId="4" priority="1306" operator="equal">
      <formula>"FE"</formula>
    </cfRule>
    <cfRule type="cellIs" dxfId="5" priority="1305" operator="equal">
      <formula>"SC"</formula>
    </cfRule>
    <cfRule type="cellIs" dxfId="6" priority="1304" operator="equal">
      <formula>"ET"</formula>
    </cfRule>
  </conditionalFormatting>
  <conditionalFormatting sqref="F17:G17">
    <cfRule type="cellIs" dxfId="0" priority="589" operator="equal">
      <formula>"DSR"</formula>
    </cfRule>
    <cfRule type="cellIs" dxfId="1" priority="588" operator="equal">
      <formula>"P"</formula>
    </cfRule>
    <cfRule type="cellIs" dxfId="2" priority="587" operator="equal">
      <formula>"FJ"</formula>
    </cfRule>
    <cfRule type="cellIs" dxfId="3" priority="586" operator="equal">
      <formula>"FI"</formula>
    </cfRule>
    <cfRule type="cellIs" dxfId="4" priority="585" operator="equal">
      <formula>"FE"</formula>
    </cfRule>
    <cfRule type="cellIs" dxfId="5" priority="584" operator="equal">
      <formula>"SC"</formula>
    </cfRule>
    <cfRule type="cellIs" dxfId="6" priority="583" operator="equal">
      <formula>"ET"</formula>
    </cfRule>
  </conditionalFormatting>
  <conditionalFormatting sqref="P18">
    <cfRule type="cellIs" dxfId="0" priority="1296" operator="equal">
      <formula>"DSR"</formula>
    </cfRule>
    <cfRule type="cellIs" dxfId="1" priority="1295" operator="equal">
      <formula>"P"</formula>
    </cfRule>
    <cfRule type="cellIs" dxfId="2" priority="1294" operator="equal">
      <formula>"FJ"</formula>
    </cfRule>
    <cfRule type="cellIs" dxfId="3" priority="1293" operator="equal">
      <formula>"FI"</formula>
    </cfRule>
    <cfRule type="cellIs" dxfId="4" priority="1292" operator="equal">
      <formula>"FE"</formula>
    </cfRule>
    <cfRule type="cellIs" dxfId="5" priority="1291" operator="equal">
      <formula>"SC"</formula>
    </cfRule>
    <cfRule type="cellIs" dxfId="6" priority="1290" operator="equal">
      <formula>"ET"</formula>
    </cfRule>
  </conditionalFormatting>
  <conditionalFormatting sqref="AI20">
    <cfRule type="cellIs" dxfId="0" priority="1576" operator="equal">
      <formula>"DSR"</formula>
    </cfRule>
    <cfRule type="cellIs" dxfId="1" priority="1575" operator="equal">
      <formula>"P"</formula>
    </cfRule>
    <cfRule type="cellIs" dxfId="2" priority="1574" operator="equal">
      <formula>"FJ"</formula>
    </cfRule>
    <cfRule type="cellIs" dxfId="3" priority="1573" operator="equal">
      <formula>"FI"</formula>
    </cfRule>
    <cfRule type="cellIs" dxfId="4" priority="1572" operator="equal">
      <formula>"FE"</formula>
    </cfRule>
    <cfRule type="cellIs" dxfId="5" priority="1571" operator="equal">
      <formula>"SC"</formula>
    </cfRule>
    <cfRule type="cellIs" dxfId="6" priority="1570" operator="equal">
      <formula>"ET"</formula>
    </cfRule>
  </conditionalFormatting>
  <conditionalFormatting sqref="P22">
    <cfRule type="cellIs" dxfId="0" priority="1282" operator="equal">
      <formula>"DSR"</formula>
    </cfRule>
    <cfRule type="cellIs" dxfId="1" priority="1281" operator="equal">
      <formula>"P"</formula>
    </cfRule>
    <cfRule type="cellIs" dxfId="2" priority="1280" operator="equal">
      <formula>"FJ"</formula>
    </cfRule>
    <cfRule type="cellIs" dxfId="3" priority="1279" operator="equal">
      <formula>"FI"</formula>
    </cfRule>
    <cfRule type="cellIs" dxfId="4" priority="1278" operator="equal">
      <formula>"FE"</formula>
    </cfRule>
    <cfRule type="cellIs" dxfId="5" priority="1277" operator="equal">
      <formula>"SC"</formula>
    </cfRule>
    <cfRule type="cellIs" dxfId="6" priority="1276" operator="equal">
      <formula>"ET"</formula>
    </cfRule>
  </conditionalFormatting>
  <conditionalFormatting sqref="P23">
    <cfRule type="cellIs" dxfId="0" priority="1268" operator="equal">
      <formula>"DSR"</formula>
    </cfRule>
    <cfRule type="cellIs" dxfId="1" priority="1267" operator="equal">
      <formula>"P"</formula>
    </cfRule>
    <cfRule type="cellIs" dxfId="2" priority="1266" operator="equal">
      <formula>"FJ"</formula>
    </cfRule>
    <cfRule type="cellIs" dxfId="3" priority="1265" operator="equal">
      <formula>"FI"</formula>
    </cfRule>
    <cfRule type="cellIs" dxfId="4" priority="1264" operator="equal">
      <formula>"FE"</formula>
    </cfRule>
    <cfRule type="cellIs" dxfId="5" priority="1263" operator="equal">
      <formula>"SC"</formula>
    </cfRule>
    <cfRule type="cellIs" dxfId="6" priority="1262" operator="equal">
      <formula>"ET"</formula>
    </cfRule>
  </conditionalFormatting>
  <conditionalFormatting sqref="P27">
    <cfRule type="cellIs" dxfId="0" priority="1254" operator="equal">
      <formula>"DSR"</formula>
    </cfRule>
    <cfRule type="cellIs" dxfId="1" priority="1253" operator="equal">
      <formula>"P"</formula>
    </cfRule>
    <cfRule type="cellIs" dxfId="2" priority="1252" operator="equal">
      <formula>"FJ"</formula>
    </cfRule>
    <cfRule type="cellIs" dxfId="3" priority="1251" operator="equal">
      <formula>"FI"</formula>
    </cfRule>
    <cfRule type="cellIs" dxfId="4" priority="1250" operator="equal">
      <formula>"FE"</formula>
    </cfRule>
    <cfRule type="cellIs" dxfId="5" priority="1249" operator="equal">
      <formula>"SC"</formula>
    </cfRule>
    <cfRule type="cellIs" dxfId="6" priority="1248" operator="equal">
      <formula>"ET"</formula>
    </cfRule>
  </conditionalFormatting>
  <conditionalFormatting sqref="P28">
    <cfRule type="cellIs" dxfId="0" priority="1240" operator="equal">
      <formula>"DSR"</formula>
    </cfRule>
    <cfRule type="cellIs" dxfId="1" priority="1239" operator="equal">
      <formula>"P"</formula>
    </cfRule>
    <cfRule type="cellIs" dxfId="2" priority="1238" operator="equal">
      <formula>"FJ"</formula>
    </cfRule>
    <cfRule type="cellIs" dxfId="3" priority="1237" operator="equal">
      <formula>"FI"</formula>
    </cfRule>
    <cfRule type="cellIs" dxfId="4" priority="1236" operator="equal">
      <formula>"FE"</formula>
    </cfRule>
    <cfRule type="cellIs" dxfId="5" priority="1235" operator="equal">
      <formula>"SC"</formula>
    </cfRule>
    <cfRule type="cellIs" dxfId="6" priority="1234" operator="equal">
      <formula>"ET"</formula>
    </cfRule>
  </conditionalFormatting>
  <conditionalFormatting sqref="P29">
    <cfRule type="cellIs" dxfId="0" priority="1226" operator="equal">
      <formula>"DSR"</formula>
    </cfRule>
    <cfRule type="cellIs" dxfId="1" priority="1225" operator="equal">
      <formula>"P"</formula>
    </cfRule>
    <cfRule type="cellIs" dxfId="2" priority="1224" operator="equal">
      <formula>"FJ"</formula>
    </cfRule>
    <cfRule type="cellIs" dxfId="3" priority="1223" operator="equal">
      <formula>"FI"</formula>
    </cfRule>
    <cfRule type="cellIs" dxfId="4" priority="1222" operator="equal">
      <formula>"FE"</formula>
    </cfRule>
    <cfRule type="cellIs" dxfId="5" priority="1221" operator="equal">
      <formula>"SC"</formula>
    </cfRule>
    <cfRule type="cellIs" dxfId="6" priority="1220" operator="equal">
      <formula>"ET"</formula>
    </cfRule>
  </conditionalFormatting>
  <conditionalFormatting sqref="P30">
    <cfRule type="cellIs" dxfId="0" priority="1212" operator="equal">
      <formula>"DSR"</formula>
    </cfRule>
    <cfRule type="cellIs" dxfId="1" priority="1211" operator="equal">
      <formula>"P"</formula>
    </cfRule>
    <cfRule type="cellIs" dxfId="2" priority="1210" operator="equal">
      <formula>"FJ"</formula>
    </cfRule>
    <cfRule type="cellIs" dxfId="3" priority="1209" operator="equal">
      <formula>"FI"</formula>
    </cfRule>
    <cfRule type="cellIs" dxfId="4" priority="1208" operator="equal">
      <formula>"FE"</formula>
    </cfRule>
    <cfRule type="cellIs" dxfId="5" priority="1207" operator="equal">
      <formula>"SC"</formula>
    </cfRule>
    <cfRule type="cellIs" dxfId="6" priority="1206" operator="equal">
      <formula>"ET"</formula>
    </cfRule>
  </conditionalFormatting>
  <conditionalFormatting sqref="P33">
    <cfRule type="cellIs" dxfId="0" priority="1198" operator="equal">
      <formula>"DSR"</formula>
    </cfRule>
    <cfRule type="cellIs" dxfId="1" priority="1197" operator="equal">
      <formula>"P"</formula>
    </cfRule>
    <cfRule type="cellIs" dxfId="2" priority="1196" operator="equal">
      <formula>"FJ"</formula>
    </cfRule>
    <cfRule type="cellIs" dxfId="3" priority="1195" operator="equal">
      <formula>"FI"</formula>
    </cfRule>
    <cfRule type="cellIs" dxfId="4" priority="1194" operator="equal">
      <formula>"FE"</formula>
    </cfRule>
    <cfRule type="cellIs" dxfId="5" priority="1193" operator="equal">
      <formula>"SC"</formula>
    </cfRule>
    <cfRule type="cellIs" dxfId="6" priority="1192" operator="equal">
      <formula>"ET"</formula>
    </cfRule>
  </conditionalFormatting>
  <conditionalFormatting sqref="F34:G34">
    <cfRule type="cellIs" dxfId="0" priority="582" operator="equal">
      <formula>"DSR"</formula>
    </cfRule>
    <cfRule type="cellIs" dxfId="1" priority="575" operator="equal">
      <formula>"P"</formula>
    </cfRule>
    <cfRule type="cellIs" dxfId="2" priority="568" operator="equal">
      <formula>"FJ"</formula>
    </cfRule>
    <cfRule type="cellIs" dxfId="3" priority="561" operator="equal">
      <formula>"FI"</formula>
    </cfRule>
    <cfRule type="cellIs" dxfId="4" priority="554" operator="equal">
      <formula>"FE"</formula>
    </cfRule>
    <cfRule type="cellIs" dxfId="5" priority="547" operator="equal">
      <formula>"SC"</formula>
    </cfRule>
    <cfRule type="cellIs" dxfId="6" priority="540" operator="equal">
      <formula>"ET"</formula>
    </cfRule>
  </conditionalFormatting>
  <conditionalFormatting sqref="P34">
    <cfRule type="cellIs" dxfId="0" priority="1184" operator="equal">
      <formula>"DSR"</formula>
    </cfRule>
    <cfRule type="cellIs" dxfId="1" priority="1183" operator="equal">
      <formula>"P"</formula>
    </cfRule>
    <cfRule type="cellIs" dxfId="2" priority="1182" operator="equal">
      <formula>"FJ"</formula>
    </cfRule>
    <cfRule type="cellIs" dxfId="3" priority="1181" operator="equal">
      <formula>"FI"</formula>
    </cfRule>
    <cfRule type="cellIs" dxfId="4" priority="1180" operator="equal">
      <formula>"FE"</formula>
    </cfRule>
    <cfRule type="cellIs" dxfId="5" priority="1179" operator="equal">
      <formula>"SC"</formula>
    </cfRule>
    <cfRule type="cellIs" dxfId="6" priority="1178" operator="equal">
      <formula>"ET"</formula>
    </cfRule>
  </conditionalFormatting>
  <conditionalFormatting sqref="F35:G35">
    <cfRule type="cellIs" dxfId="0" priority="581" operator="equal">
      <formula>"DSR"</formula>
    </cfRule>
    <cfRule type="cellIs" dxfId="1" priority="574" operator="equal">
      <formula>"P"</formula>
    </cfRule>
    <cfRule type="cellIs" dxfId="2" priority="567" operator="equal">
      <formula>"FJ"</formula>
    </cfRule>
    <cfRule type="cellIs" dxfId="3" priority="560" operator="equal">
      <formula>"FI"</formula>
    </cfRule>
    <cfRule type="cellIs" dxfId="4" priority="553" operator="equal">
      <formula>"FE"</formula>
    </cfRule>
    <cfRule type="cellIs" dxfId="5" priority="546" operator="equal">
      <formula>"SC"</formula>
    </cfRule>
    <cfRule type="cellIs" dxfId="6" priority="539" operator="equal">
      <formula>"ET"</formula>
    </cfRule>
  </conditionalFormatting>
  <conditionalFormatting sqref="P35">
    <cfRule type="cellIs" dxfId="0" priority="1170" operator="equal">
      <formula>"DSR"</formula>
    </cfRule>
    <cfRule type="cellIs" dxfId="1" priority="1169" operator="equal">
      <formula>"P"</formula>
    </cfRule>
    <cfRule type="cellIs" dxfId="2" priority="1168" operator="equal">
      <formula>"FJ"</formula>
    </cfRule>
    <cfRule type="cellIs" dxfId="3" priority="1167" operator="equal">
      <formula>"FI"</formula>
    </cfRule>
    <cfRule type="cellIs" dxfId="4" priority="1166" operator="equal">
      <formula>"FE"</formula>
    </cfRule>
    <cfRule type="cellIs" dxfId="5" priority="1165" operator="equal">
      <formula>"SC"</formula>
    </cfRule>
    <cfRule type="cellIs" dxfId="6" priority="1164" operator="equal">
      <formula>"ET"</formula>
    </cfRule>
  </conditionalFormatting>
  <conditionalFormatting sqref="F36:G36">
    <cfRule type="cellIs" dxfId="0" priority="580" operator="equal">
      <formula>"DSR"</formula>
    </cfRule>
    <cfRule type="cellIs" dxfId="1" priority="573" operator="equal">
      <formula>"P"</formula>
    </cfRule>
    <cfRule type="cellIs" dxfId="2" priority="566" operator="equal">
      <formula>"FJ"</formula>
    </cfRule>
    <cfRule type="cellIs" dxfId="3" priority="559" operator="equal">
      <formula>"FI"</formula>
    </cfRule>
    <cfRule type="cellIs" dxfId="4" priority="552" operator="equal">
      <formula>"FE"</formula>
    </cfRule>
    <cfRule type="cellIs" dxfId="5" priority="545" operator="equal">
      <formula>"SC"</formula>
    </cfRule>
    <cfRule type="cellIs" dxfId="6" priority="538" operator="equal">
      <formula>"ET"</formula>
    </cfRule>
  </conditionalFormatting>
  <conditionalFormatting sqref="P36">
    <cfRule type="cellIs" dxfId="0" priority="799" operator="equal">
      <formula>"DSR"</formula>
    </cfRule>
    <cfRule type="cellIs" dxfId="1" priority="798" operator="equal">
      <formula>"P"</formula>
    </cfRule>
    <cfRule type="cellIs" dxfId="2" priority="797" operator="equal">
      <formula>"FJ"</formula>
    </cfRule>
    <cfRule type="cellIs" dxfId="3" priority="796" operator="equal">
      <formula>"FI"</formula>
    </cfRule>
    <cfRule type="cellIs" dxfId="4" priority="795" operator="equal">
      <formula>"FE"</formula>
    </cfRule>
    <cfRule type="cellIs" dxfId="5" priority="794" operator="equal">
      <formula>"SC"</formula>
    </cfRule>
    <cfRule type="cellIs" dxfId="6" priority="793" operator="equal">
      <formula>"ET"</formula>
    </cfRule>
  </conditionalFormatting>
  <conditionalFormatting sqref="F37:G37">
    <cfRule type="cellIs" dxfId="0" priority="579" operator="equal">
      <formula>"DSR"</formula>
    </cfRule>
    <cfRule type="cellIs" dxfId="1" priority="572" operator="equal">
      <formula>"P"</formula>
    </cfRule>
    <cfRule type="cellIs" dxfId="2" priority="565" operator="equal">
      <formula>"FJ"</formula>
    </cfRule>
    <cfRule type="cellIs" dxfId="3" priority="558" operator="equal">
      <formula>"FI"</formula>
    </cfRule>
    <cfRule type="cellIs" dxfId="4" priority="551" operator="equal">
      <formula>"FE"</formula>
    </cfRule>
    <cfRule type="cellIs" dxfId="5" priority="544" operator="equal">
      <formula>"SC"</formula>
    </cfRule>
    <cfRule type="cellIs" dxfId="6" priority="537" operator="equal">
      <formula>"ET"</formula>
    </cfRule>
  </conditionalFormatting>
  <conditionalFormatting sqref="P37">
    <cfRule type="cellIs" dxfId="0" priority="1156" operator="equal">
      <formula>"DSR"</formula>
    </cfRule>
    <cfRule type="cellIs" dxfId="1" priority="1155" operator="equal">
      <formula>"P"</formula>
    </cfRule>
    <cfRule type="cellIs" dxfId="2" priority="1154" operator="equal">
      <formula>"FJ"</formula>
    </cfRule>
    <cfRule type="cellIs" dxfId="3" priority="1153" operator="equal">
      <formula>"FI"</formula>
    </cfRule>
    <cfRule type="cellIs" dxfId="4" priority="1152" operator="equal">
      <formula>"FE"</formula>
    </cfRule>
    <cfRule type="cellIs" dxfId="5" priority="1151" operator="equal">
      <formula>"SC"</formula>
    </cfRule>
    <cfRule type="cellIs" dxfId="6" priority="1150" operator="equal">
      <formula>"ET"</formula>
    </cfRule>
  </conditionalFormatting>
  <conditionalFormatting sqref="F38:G38">
    <cfRule type="cellIs" dxfId="0" priority="578" operator="equal">
      <formula>"DSR"</formula>
    </cfRule>
    <cfRule type="cellIs" dxfId="1" priority="571" operator="equal">
      <formula>"P"</formula>
    </cfRule>
    <cfRule type="cellIs" dxfId="2" priority="564" operator="equal">
      <formula>"FJ"</formula>
    </cfRule>
    <cfRule type="cellIs" dxfId="3" priority="557" operator="equal">
      <formula>"FI"</formula>
    </cfRule>
    <cfRule type="cellIs" dxfId="4" priority="550" operator="equal">
      <formula>"FE"</formula>
    </cfRule>
    <cfRule type="cellIs" dxfId="5" priority="543" operator="equal">
      <formula>"SC"</formula>
    </cfRule>
    <cfRule type="cellIs" dxfId="6" priority="536" operator="equal">
      <formula>"ET"</formula>
    </cfRule>
  </conditionalFormatting>
  <conditionalFormatting sqref="H38">
    <cfRule type="cellIs" dxfId="0" priority="771" operator="equal">
      <formula>"DSR"</formula>
    </cfRule>
    <cfRule type="cellIs" dxfId="1" priority="770" operator="equal">
      <formula>"P"</formula>
    </cfRule>
    <cfRule type="cellIs" dxfId="2" priority="769" operator="equal">
      <formula>"FJ"</formula>
    </cfRule>
    <cfRule type="cellIs" dxfId="3" priority="768" operator="equal">
      <formula>"FI"</formula>
    </cfRule>
    <cfRule type="cellIs" dxfId="4" priority="767" operator="equal">
      <formula>"FE"</formula>
    </cfRule>
    <cfRule type="cellIs" dxfId="5" priority="766" operator="equal">
      <formula>"SC"</formula>
    </cfRule>
    <cfRule type="cellIs" dxfId="6" priority="765" operator="equal">
      <formula>"ET"</formula>
    </cfRule>
  </conditionalFormatting>
  <conditionalFormatting sqref="I38">
    <cfRule type="cellIs" dxfId="0" priority="785" operator="equal">
      <formula>"DSR"</formula>
    </cfRule>
    <cfRule type="cellIs" dxfId="1" priority="784" operator="equal">
      <formula>"P"</formula>
    </cfRule>
    <cfRule type="cellIs" dxfId="2" priority="783" operator="equal">
      <formula>"FJ"</formula>
    </cfRule>
    <cfRule type="cellIs" dxfId="3" priority="782" operator="equal">
      <formula>"FI"</formula>
    </cfRule>
    <cfRule type="cellIs" dxfId="4" priority="781" operator="equal">
      <formula>"FE"</formula>
    </cfRule>
    <cfRule type="cellIs" dxfId="5" priority="780" operator="equal">
      <formula>"SC"</formula>
    </cfRule>
    <cfRule type="cellIs" dxfId="6" priority="779" operator="equal">
      <formula>"ET"</formula>
    </cfRule>
  </conditionalFormatting>
  <conditionalFormatting sqref="L38:O38">
    <cfRule type="cellIs" dxfId="0" priority="764" operator="equal">
      <formula>"DSR"</formula>
    </cfRule>
    <cfRule type="cellIs" dxfId="1" priority="763" operator="equal">
      <formula>"P"</formula>
    </cfRule>
    <cfRule type="cellIs" dxfId="2" priority="762" operator="equal">
      <formula>"FJ"</formula>
    </cfRule>
    <cfRule type="cellIs" dxfId="3" priority="761" operator="equal">
      <formula>"FI"</formula>
    </cfRule>
    <cfRule type="cellIs" dxfId="4" priority="760" operator="equal">
      <formula>"FE"</formula>
    </cfRule>
    <cfRule type="cellIs" dxfId="5" priority="759" operator="equal">
      <formula>"SC"</formula>
    </cfRule>
    <cfRule type="cellIs" dxfId="6" priority="758" operator="equal">
      <formula>"ET"</formula>
    </cfRule>
  </conditionalFormatting>
  <conditionalFormatting sqref="P38">
    <cfRule type="cellIs" dxfId="0" priority="778" operator="equal">
      <formula>"DSR"</formula>
    </cfRule>
    <cfRule type="cellIs" dxfId="1" priority="777" operator="equal">
      <formula>"P"</formula>
    </cfRule>
    <cfRule type="cellIs" dxfId="2" priority="776" operator="equal">
      <formula>"FJ"</formula>
    </cfRule>
    <cfRule type="cellIs" dxfId="3" priority="775" operator="equal">
      <formula>"FI"</formula>
    </cfRule>
    <cfRule type="cellIs" dxfId="4" priority="774" operator="equal">
      <formula>"FE"</formula>
    </cfRule>
    <cfRule type="cellIs" dxfId="5" priority="773" operator="equal">
      <formula>"SC"</formula>
    </cfRule>
    <cfRule type="cellIs" dxfId="6" priority="772" operator="equal">
      <formula>"ET"</formula>
    </cfRule>
  </conditionalFormatting>
  <conditionalFormatting sqref="S38:T38">
    <cfRule type="cellIs" dxfId="0" priority="757" operator="equal">
      <formula>"DSR"</formula>
    </cfRule>
    <cfRule type="cellIs" dxfId="1" priority="756" operator="equal">
      <formula>"P"</formula>
    </cfRule>
    <cfRule type="cellIs" dxfId="2" priority="755" operator="equal">
      <formula>"FJ"</formula>
    </cfRule>
    <cfRule type="cellIs" dxfId="3" priority="754" operator="equal">
      <formula>"FI"</formula>
    </cfRule>
    <cfRule type="cellIs" dxfId="4" priority="753" operator="equal">
      <formula>"FE"</formula>
    </cfRule>
    <cfRule type="cellIs" dxfId="5" priority="752" operator="equal">
      <formula>"SC"</formula>
    </cfRule>
    <cfRule type="cellIs" dxfId="6" priority="751" operator="equal">
      <formula>"ET"</formula>
    </cfRule>
  </conditionalFormatting>
  <conditionalFormatting sqref="U38">
    <cfRule type="cellIs" dxfId="0" priority="792" operator="equal">
      <formula>"DSR"</formula>
    </cfRule>
    <cfRule type="cellIs" dxfId="1" priority="791" operator="equal">
      <formula>"P"</formula>
    </cfRule>
    <cfRule type="cellIs" dxfId="2" priority="790" operator="equal">
      <formula>"FJ"</formula>
    </cfRule>
    <cfRule type="cellIs" dxfId="3" priority="789" operator="equal">
      <formula>"FI"</formula>
    </cfRule>
    <cfRule type="cellIs" dxfId="4" priority="788" operator="equal">
      <formula>"FE"</formula>
    </cfRule>
    <cfRule type="cellIs" dxfId="5" priority="787" operator="equal">
      <formula>"SC"</formula>
    </cfRule>
    <cfRule type="cellIs" dxfId="6" priority="786" operator="equal">
      <formula>"ET"</formula>
    </cfRule>
  </conditionalFormatting>
  <conditionalFormatting sqref="F39:G39">
    <cfRule type="cellIs" dxfId="0" priority="577" operator="equal">
      <formula>"DSR"</formula>
    </cfRule>
    <cfRule type="cellIs" dxfId="1" priority="570" operator="equal">
      <formula>"P"</formula>
    </cfRule>
    <cfRule type="cellIs" dxfId="2" priority="563" operator="equal">
      <formula>"FJ"</formula>
    </cfRule>
    <cfRule type="cellIs" dxfId="3" priority="556" operator="equal">
      <formula>"FI"</formula>
    </cfRule>
    <cfRule type="cellIs" dxfId="4" priority="549" operator="equal">
      <formula>"FE"</formula>
    </cfRule>
    <cfRule type="cellIs" dxfId="5" priority="542" operator="equal">
      <formula>"SC"</formula>
    </cfRule>
    <cfRule type="cellIs" dxfId="6" priority="535" operator="equal">
      <formula>"ET"</formula>
    </cfRule>
  </conditionalFormatting>
  <conditionalFormatting sqref="H39">
    <cfRule type="cellIs" dxfId="0" priority="729" operator="equal">
      <formula>"DSR"</formula>
    </cfRule>
    <cfRule type="cellIs" dxfId="1" priority="728" operator="equal">
      <formula>"P"</formula>
    </cfRule>
    <cfRule type="cellIs" dxfId="2" priority="727" operator="equal">
      <formula>"FJ"</formula>
    </cfRule>
    <cfRule type="cellIs" dxfId="3" priority="726" operator="equal">
      <formula>"FI"</formula>
    </cfRule>
    <cfRule type="cellIs" dxfId="4" priority="725" operator="equal">
      <formula>"FE"</formula>
    </cfRule>
    <cfRule type="cellIs" dxfId="5" priority="724" operator="equal">
      <formula>"SC"</formula>
    </cfRule>
    <cfRule type="cellIs" dxfId="6" priority="723" operator="equal">
      <formula>"ET"</formula>
    </cfRule>
  </conditionalFormatting>
  <conditionalFormatting sqref="I39">
    <cfRule type="cellIs" dxfId="0" priority="743" operator="equal">
      <formula>"DSR"</formula>
    </cfRule>
    <cfRule type="cellIs" dxfId="1" priority="742" operator="equal">
      <formula>"P"</formula>
    </cfRule>
    <cfRule type="cellIs" dxfId="2" priority="741" operator="equal">
      <formula>"FJ"</formula>
    </cfRule>
    <cfRule type="cellIs" dxfId="3" priority="740" operator="equal">
      <formula>"FI"</formula>
    </cfRule>
    <cfRule type="cellIs" dxfId="4" priority="739" operator="equal">
      <formula>"FE"</formula>
    </cfRule>
    <cfRule type="cellIs" dxfId="5" priority="738" operator="equal">
      <formula>"SC"</formula>
    </cfRule>
    <cfRule type="cellIs" dxfId="6" priority="737" operator="equal">
      <formula>"ET"</formula>
    </cfRule>
  </conditionalFormatting>
  <conditionalFormatting sqref="L39:O39">
    <cfRule type="cellIs" dxfId="0" priority="722" operator="equal">
      <formula>"DSR"</formula>
    </cfRule>
    <cfRule type="cellIs" dxfId="1" priority="721" operator="equal">
      <formula>"P"</formula>
    </cfRule>
    <cfRule type="cellIs" dxfId="2" priority="720" operator="equal">
      <formula>"FJ"</formula>
    </cfRule>
    <cfRule type="cellIs" dxfId="3" priority="719" operator="equal">
      <formula>"FI"</formula>
    </cfRule>
    <cfRule type="cellIs" dxfId="4" priority="718" operator="equal">
      <formula>"FE"</formula>
    </cfRule>
    <cfRule type="cellIs" dxfId="5" priority="717" operator="equal">
      <formula>"SC"</formula>
    </cfRule>
    <cfRule type="cellIs" dxfId="6" priority="716" operator="equal">
      <formula>"ET"</formula>
    </cfRule>
  </conditionalFormatting>
  <conditionalFormatting sqref="P39">
    <cfRule type="cellIs" dxfId="0" priority="736" operator="equal">
      <formula>"DSR"</formula>
    </cfRule>
    <cfRule type="cellIs" dxfId="1" priority="735" operator="equal">
      <formula>"P"</formula>
    </cfRule>
    <cfRule type="cellIs" dxfId="2" priority="734" operator="equal">
      <formula>"FJ"</formula>
    </cfRule>
    <cfRule type="cellIs" dxfId="3" priority="733" operator="equal">
      <formula>"FI"</formula>
    </cfRule>
    <cfRule type="cellIs" dxfId="4" priority="732" operator="equal">
      <formula>"FE"</formula>
    </cfRule>
    <cfRule type="cellIs" dxfId="5" priority="731" operator="equal">
      <formula>"SC"</formula>
    </cfRule>
    <cfRule type="cellIs" dxfId="6" priority="730" operator="equal">
      <formula>"ET"</formula>
    </cfRule>
  </conditionalFormatting>
  <conditionalFormatting sqref="S39:T39">
    <cfRule type="cellIs" dxfId="0" priority="715" operator="equal">
      <formula>"DSR"</formula>
    </cfRule>
    <cfRule type="cellIs" dxfId="1" priority="714" operator="equal">
      <formula>"P"</formula>
    </cfRule>
    <cfRule type="cellIs" dxfId="2" priority="713" operator="equal">
      <formula>"FJ"</formula>
    </cfRule>
    <cfRule type="cellIs" dxfId="3" priority="712" operator="equal">
      <formula>"FI"</formula>
    </cfRule>
    <cfRule type="cellIs" dxfId="4" priority="711" operator="equal">
      <formula>"FE"</formula>
    </cfRule>
    <cfRule type="cellIs" dxfId="5" priority="710" operator="equal">
      <formula>"SC"</formula>
    </cfRule>
    <cfRule type="cellIs" dxfId="6" priority="709" operator="equal">
      <formula>"ET"</formula>
    </cfRule>
  </conditionalFormatting>
  <conditionalFormatting sqref="U39">
    <cfRule type="cellIs" dxfId="0" priority="750" operator="equal">
      <formula>"DSR"</formula>
    </cfRule>
    <cfRule type="cellIs" dxfId="1" priority="749" operator="equal">
      <formula>"P"</formula>
    </cfRule>
    <cfRule type="cellIs" dxfId="2" priority="748" operator="equal">
      <formula>"FJ"</formula>
    </cfRule>
    <cfRule type="cellIs" dxfId="3" priority="747" operator="equal">
      <formula>"FI"</formula>
    </cfRule>
    <cfRule type="cellIs" dxfId="4" priority="746" operator="equal">
      <formula>"FE"</formula>
    </cfRule>
    <cfRule type="cellIs" dxfId="5" priority="745" operator="equal">
      <formula>"SC"</formula>
    </cfRule>
    <cfRule type="cellIs" dxfId="6" priority="744" operator="equal">
      <formula>"ET"</formula>
    </cfRule>
  </conditionalFormatting>
  <conditionalFormatting sqref="F40:G40">
    <cfRule type="cellIs" dxfId="0" priority="576" operator="equal">
      <formula>"DSR"</formula>
    </cfRule>
    <cfRule type="cellIs" dxfId="1" priority="569" operator="equal">
      <formula>"P"</formula>
    </cfRule>
    <cfRule type="cellIs" dxfId="2" priority="562" operator="equal">
      <formula>"FJ"</formula>
    </cfRule>
    <cfRule type="cellIs" dxfId="3" priority="555" operator="equal">
      <formula>"FI"</formula>
    </cfRule>
    <cfRule type="cellIs" dxfId="4" priority="548" operator="equal">
      <formula>"FE"</formula>
    </cfRule>
    <cfRule type="cellIs" dxfId="5" priority="541" operator="equal">
      <formula>"SC"</formula>
    </cfRule>
    <cfRule type="cellIs" dxfId="6" priority="534" operator="equal">
      <formula>"ET"</formula>
    </cfRule>
  </conditionalFormatting>
  <conditionalFormatting sqref="I40">
    <cfRule type="cellIs" dxfId="0" priority="1506" operator="equal">
      <formula>"DSR"</formula>
    </cfRule>
    <cfRule type="cellIs" dxfId="1" priority="1504" operator="equal">
      <formula>"P"</formula>
    </cfRule>
    <cfRule type="cellIs" dxfId="2" priority="1502" operator="equal">
      <formula>"FJ"</formula>
    </cfRule>
    <cfRule type="cellIs" dxfId="3" priority="1500" operator="equal">
      <formula>"FI"</formula>
    </cfRule>
    <cfRule type="cellIs" dxfId="4" priority="1498" operator="equal">
      <formula>"FE"</formula>
    </cfRule>
    <cfRule type="cellIs" dxfId="5" priority="1496" operator="equal">
      <formula>"SC"</formula>
    </cfRule>
    <cfRule type="cellIs" dxfId="6" priority="1494" operator="equal">
      <formula>"ET"</formula>
    </cfRule>
  </conditionalFormatting>
  <conditionalFormatting sqref="L40:P40">
    <cfRule type="cellIs" dxfId="0" priority="708" operator="equal">
      <formula>"DSR"</formula>
    </cfRule>
    <cfRule type="cellIs" dxfId="1" priority="707" operator="equal">
      <formula>"P"</formula>
    </cfRule>
    <cfRule type="cellIs" dxfId="2" priority="706" operator="equal">
      <formula>"FJ"</formula>
    </cfRule>
    <cfRule type="cellIs" dxfId="3" priority="705" operator="equal">
      <formula>"FI"</formula>
    </cfRule>
    <cfRule type="cellIs" dxfId="4" priority="704" operator="equal">
      <formula>"FE"</formula>
    </cfRule>
    <cfRule type="cellIs" dxfId="5" priority="703" operator="equal">
      <formula>"SC"</formula>
    </cfRule>
    <cfRule type="cellIs" dxfId="6" priority="702" operator="equal">
      <formula>"ET"</formula>
    </cfRule>
  </conditionalFormatting>
  <conditionalFormatting sqref="AA40">
    <cfRule type="cellIs" dxfId="0" priority="680" operator="equal">
      <formula>"DSR"</formula>
    </cfRule>
    <cfRule type="cellIs" dxfId="1" priority="679" operator="equal">
      <formula>"P"</formula>
    </cfRule>
    <cfRule type="cellIs" dxfId="2" priority="678" operator="equal">
      <formula>"FJ"</formula>
    </cfRule>
    <cfRule type="cellIs" dxfId="3" priority="677" operator="equal">
      <formula>"FI"</formula>
    </cfRule>
    <cfRule type="cellIs" dxfId="4" priority="676" operator="equal">
      <formula>"FE"</formula>
    </cfRule>
    <cfRule type="cellIs" dxfId="5" priority="675" operator="equal">
      <formula>"SC"</formula>
    </cfRule>
    <cfRule type="cellIs" dxfId="6" priority="674" operator="equal">
      <formula>"ET"</formula>
    </cfRule>
  </conditionalFormatting>
  <conditionalFormatting sqref="AH40">
    <cfRule type="cellIs" dxfId="0" priority="624" operator="equal">
      <formula>"DSR"</formula>
    </cfRule>
    <cfRule type="cellIs" dxfId="1" priority="623" operator="equal">
      <formula>"P"</formula>
    </cfRule>
    <cfRule type="cellIs" dxfId="2" priority="622" operator="equal">
      <formula>"FJ"</formula>
    </cfRule>
    <cfRule type="cellIs" dxfId="3" priority="621" operator="equal">
      <formula>"FI"</formula>
    </cfRule>
    <cfRule type="cellIs" dxfId="4" priority="620" operator="equal">
      <formula>"FE"</formula>
    </cfRule>
    <cfRule type="cellIs" dxfId="5" priority="619" operator="equal">
      <formula>"SC"</formula>
    </cfRule>
    <cfRule type="cellIs" dxfId="6" priority="618" operator="equal">
      <formula>"ET"</formula>
    </cfRule>
  </conditionalFormatting>
  <conditionalFormatting sqref="E41">
    <cfRule type="cellIs" dxfId="0" priority="442" operator="equal">
      <formula>"DSR"</formula>
    </cfRule>
    <cfRule type="cellIs" dxfId="1" priority="430" operator="equal">
      <formula>"P"</formula>
    </cfRule>
    <cfRule type="cellIs" dxfId="2" priority="418" operator="equal">
      <formula>"FJ"</formula>
    </cfRule>
    <cfRule type="cellIs" dxfId="3" priority="406" operator="equal">
      <formula>"FI"</formula>
    </cfRule>
    <cfRule type="cellIs" dxfId="4" priority="394" operator="equal">
      <formula>"FE"</formula>
    </cfRule>
    <cfRule type="cellIs" dxfId="5" priority="382" operator="equal">
      <formula>"SC"</formula>
    </cfRule>
    <cfRule type="cellIs" dxfId="6" priority="370" operator="equal">
      <formula>"ET"</formula>
    </cfRule>
  </conditionalFormatting>
  <conditionalFormatting sqref="F41:G41">
    <cfRule type="cellIs" dxfId="0" priority="526" operator="equal">
      <formula>"DSR"</formula>
    </cfRule>
    <cfRule type="cellIs" dxfId="1" priority="514" operator="equal">
      <formula>"P"</formula>
    </cfRule>
    <cfRule type="cellIs" dxfId="2" priority="502" operator="equal">
      <formula>"FJ"</formula>
    </cfRule>
    <cfRule type="cellIs" dxfId="3" priority="490" operator="equal">
      <formula>"FI"</formula>
    </cfRule>
    <cfRule type="cellIs" dxfId="4" priority="478" operator="equal">
      <formula>"FE"</formula>
    </cfRule>
    <cfRule type="cellIs" dxfId="5" priority="466" operator="equal">
      <formula>"SC"</formula>
    </cfRule>
    <cfRule type="cellIs" dxfId="6" priority="454" operator="equal">
      <formula>"ET"</formula>
    </cfRule>
  </conditionalFormatting>
  <conditionalFormatting sqref="I41">
    <cfRule type="cellIs" dxfId="0" priority="1505" operator="equal">
      <formula>"DSR"</formula>
    </cfRule>
    <cfRule type="cellIs" dxfId="1" priority="1503" operator="equal">
      <formula>"P"</formula>
    </cfRule>
    <cfRule type="cellIs" dxfId="2" priority="1501" operator="equal">
      <formula>"FJ"</formula>
    </cfRule>
    <cfRule type="cellIs" dxfId="3" priority="1499" operator="equal">
      <formula>"FI"</formula>
    </cfRule>
    <cfRule type="cellIs" dxfId="4" priority="1497" operator="equal">
      <formula>"FE"</formula>
    </cfRule>
    <cfRule type="cellIs" dxfId="5" priority="1495" operator="equal">
      <formula>"SC"</formula>
    </cfRule>
    <cfRule type="cellIs" dxfId="6" priority="1493" operator="equal">
      <formula>"ET"</formula>
    </cfRule>
  </conditionalFormatting>
  <conditionalFormatting sqref="P41">
    <cfRule type="cellIs" dxfId="0" priority="1422" operator="equal">
      <formula>"DSR"</formula>
    </cfRule>
    <cfRule type="cellIs" dxfId="1" priority="1421" operator="equal">
      <formula>"P"</formula>
    </cfRule>
    <cfRule type="cellIs" dxfId="2" priority="1420" operator="equal">
      <formula>"FJ"</formula>
    </cfRule>
    <cfRule type="cellIs" dxfId="3" priority="1419" operator="equal">
      <formula>"FI"</formula>
    </cfRule>
    <cfRule type="cellIs" dxfId="4" priority="1418" operator="equal">
      <formula>"FE"</formula>
    </cfRule>
    <cfRule type="cellIs" dxfId="5" priority="1417" operator="equal">
      <formula>"SC"</formula>
    </cfRule>
    <cfRule type="cellIs" dxfId="6" priority="1416" operator="equal">
      <formula>"ET"</formula>
    </cfRule>
  </conditionalFormatting>
  <conditionalFormatting sqref="E42">
    <cfRule type="cellIs" dxfId="0" priority="441" operator="equal">
      <formula>"DSR"</formula>
    </cfRule>
    <cfRule type="cellIs" dxfId="1" priority="429" operator="equal">
      <formula>"P"</formula>
    </cfRule>
    <cfRule type="cellIs" dxfId="2" priority="417" operator="equal">
      <formula>"FJ"</formula>
    </cfRule>
    <cfRule type="cellIs" dxfId="3" priority="405" operator="equal">
      <formula>"FI"</formula>
    </cfRule>
    <cfRule type="cellIs" dxfId="4" priority="393" operator="equal">
      <formula>"FE"</formula>
    </cfRule>
    <cfRule type="cellIs" dxfId="5" priority="381" operator="equal">
      <formula>"SC"</formula>
    </cfRule>
    <cfRule type="cellIs" dxfId="6" priority="369" operator="equal">
      <formula>"ET"</formula>
    </cfRule>
  </conditionalFormatting>
  <conditionalFormatting sqref="F42:G42">
    <cfRule type="cellIs" dxfId="0" priority="525" operator="equal">
      <formula>"DSR"</formula>
    </cfRule>
    <cfRule type="cellIs" dxfId="1" priority="513" operator="equal">
      <formula>"P"</formula>
    </cfRule>
    <cfRule type="cellIs" dxfId="2" priority="501" operator="equal">
      <formula>"FJ"</formula>
    </cfRule>
    <cfRule type="cellIs" dxfId="3" priority="489" operator="equal">
      <formula>"FI"</formula>
    </cfRule>
    <cfRule type="cellIs" dxfId="4" priority="477" operator="equal">
      <formula>"FE"</formula>
    </cfRule>
    <cfRule type="cellIs" dxfId="5" priority="465" operator="equal">
      <formula>"SC"</formula>
    </cfRule>
    <cfRule type="cellIs" dxfId="6" priority="453" operator="equal">
      <formula>"ET"</formula>
    </cfRule>
  </conditionalFormatting>
  <conditionalFormatting sqref="P42">
    <cfRule type="cellIs" dxfId="0" priority="1142" operator="equal">
      <formula>"DSR"</formula>
    </cfRule>
    <cfRule type="cellIs" dxfId="1" priority="1141" operator="equal">
      <formula>"P"</formula>
    </cfRule>
    <cfRule type="cellIs" dxfId="2" priority="1140" operator="equal">
      <formula>"FJ"</formula>
    </cfRule>
    <cfRule type="cellIs" dxfId="3" priority="1139" operator="equal">
      <formula>"FI"</formula>
    </cfRule>
    <cfRule type="cellIs" dxfId="4" priority="1138" operator="equal">
      <formula>"FE"</formula>
    </cfRule>
    <cfRule type="cellIs" dxfId="5" priority="1137" operator="equal">
      <formula>"SC"</formula>
    </cfRule>
    <cfRule type="cellIs" dxfId="6" priority="1136" operator="equal">
      <formula>"ET"</formula>
    </cfRule>
  </conditionalFormatting>
  <conditionalFormatting sqref="E43">
    <cfRule type="cellIs" dxfId="0" priority="440" operator="equal">
      <formula>"DSR"</formula>
    </cfRule>
    <cfRule type="cellIs" dxfId="1" priority="428" operator="equal">
      <formula>"P"</formula>
    </cfRule>
    <cfRule type="cellIs" dxfId="2" priority="416" operator="equal">
      <formula>"FJ"</formula>
    </cfRule>
    <cfRule type="cellIs" dxfId="3" priority="404" operator="equal">
      <formula>"FI"</formula>
    </cfRule>
    <cfRule type="cellIs" dxfId="4" priority="392" operator="equal">
      <formula>"FE"</formula>
    </cfRule>
    <cfRule type="cellIs" dxfId="5" priority="380" operator="equal">
      <formula>"SC"</formula>
    </cfRule>
    <cfRule type="cellIs" dxfId="6" priority="368" operator="equal">
      <formula>"ET"</formula>
    </cfRule>
  </conditionalFormatting>
  <conditionalFormatting sqref="F43:G43">
    <cfRule type="cellIs" dxfId="0" priority="524" operator="equal">
      <formula>"DSR"</formula>
    </cfRule>
    <cfRule type="cellIs" dxfId="1" priority="512" operator="equal">
      <formula>"P"</formula>
    </cfRule>
    <cfRule type="cellIs" dxfId="2" priority="500" operator="equal">
      <formula>"FJ"</formula>
    </cfRule>
    <cfRule type="cellIs" dxfId="3" priority="488" operator="equal">
      <formula>"FI"</formula>
    </cfRule>
    <cfRule type="cellIs" dxfId="4" priority="476" operator="equal">
      <formula>"FE"</formula>
    </cfRule>
    <cfRule type="cellIs" dxfId="5" priority="464" operator="equal">
      <formula>"SC"</formula>
    </cfRule>
    <cfRule type="cellIs" dxfId="6" priority="452" operator="equal">
      <formula>"ET"</formula>
    </cfRule>
  </conditionalFormatting>
  <conditionalFormatting sqref="P43">
    <cfRule type="cellIs" dxfId="0" priority="1128" operator="equal">
      <formula>"DSR"</formula>
    </cfRule>
    <cfRule type="cellIs" dxfId="1" priority="1127" operator="equal">
      <formula>"P"</formula>
    </cfRule>
    <cfRule type="cellIs" dxfId="2" priority="1126" operator="equal">
      <formula>"FJ"</formula>
    </cfRule>
    <cfRule type="cellIs" dxfId="3" priority="1125" operator="equal">
      <formula>"FI"</formula>
    </cfRule>
    <cfRule type="cellIs" dxfId="4" priority="1124" operator="equal">
      <formula>"FE"</formula>
    </cfRule>
    <cfRule type="cellIs" dxfId="5" priority="1123" operator="equal">
      <formula>"SC"</formula>
    </cfRule>
    <cfRule type="cellIs" dxfId="6" priority="1122" operator="equal">
      <formula>"ET"</formula>
    </cfRule>
  </conditionalFormatting>
  <conditionalFormatting sqref="S43">
    <cfRule type="cellIs" dxfId="0" priority="967" operator="equal">
      <formula>"DSR"</formula>
    </cfRule>
    <cfRule type="cellIs" dxfId="1" priority="966" operator="equal">
      <formula>"P"</formula>
    </cfRule>
    <cfRule type="cellIs" dxfId="2" priority="965" operator="equal">
      <formula>"FJ"</formula>
    </cfRule>
    <cfRule type="cellIs" dxfId="3" priority="964" operator="equal">
      <formula>"FI"</formula>
    </cfRule>
    <cfRule type="cellIs" dxfId="4" priority="963" operator="equal">
      <formula>"FE"</formula>
    </cfRule>
    <cfRule type="cellIs" dxfId="5" priority="962" operator="equal">
      <formula>"SC"</formula>
    </cfRule>
    <cfRule type="cellIs" dxfId="6" priority="961" operator="equal">
      <formula>"ET"</formula>
    </cfRule>
  </conditionalFormatting>
  <conditionalFormatting sqref="T43">
    <cfRule type="cellIs" dxfId="0" priority="960" operator="equal">
      <formula>"DSR"</formula>
    </cfRule>
    <cfRule type="cellIs" dxfId="1" priority="959" operator="equal">
      <formula>"P"</formula>
    </cfRule>
    <cfRule type="cellIs" dxfId="2" priority="958" operator="equal">
      <formula>"FJ"</formula>
    </cfRule>
    <cfRule type="cellIs" dxfId="3" priority="957" operator="equal">
      <formula>"FI"</formula>
    </cfRule>
    <cfRule type="cellIs" dxfId="4" priority="956" operator="equal">
      <formula>"FE"</formula>
    </cfRule>
    <cfRule type="cellIs" dxfId="5" priority="955" operator="equal">
      <formula>"SC"</formula>
    </cfRule>
    <cfRule type="cellIs" dxfId="6" priority="954" operator="equal">
      <formula>"ET"</formula>
    </cfRule>
  </conditionalFormatting>
  <conditionalFormatting sqref="U43">
    <cfRule type="cellIs" dxfId="0" priority="953" operator="equal">
      <formula>"DSR"</formula>
    </cfRule>
    <cfRule type="cellIs" dxfId="1" priority="952" operator="equal">
      <formula>"P"</formula>
    </cfRule>
    <cfRule type="cellIs" dxfId="2" priority="951" operator="equal">
      <formula>"FJ"</formula>
    </cfRule>
    <cfRule type="cellIs" dxfId="3" priority="950" operator="equal">
      <formula>"FI"</formula>
    </cfRule>
    <cfRule type="cellIs" dxfId="4" priority="949" operator="equal">
      <formula>"FE"</formula>
    </cfRule>
    <cfRule type="cellIs" dxfId="5" priority="948" operator="equal">
      <formula>"SC"</formula>
    </cfRule>
    <cfRule type="cellIs" dxfId="6" priority="947" operator="equal">
      <formula>"ET"</formula>
    </cfRule>
  </conditionalFormatting>
  <conditionalFormatting sqref="V43">
    <cfRule type="cellIs" dxfId="0" priority="946" operator="equal">
      <formula>"DSR"</formula>
    </cfRule>
    <cfRule type="cellIs" dxfId="1" priority="945" operator="equal">
      <formula>"P"</formula>
    </cfRule>
    <cfRule type="cellIs" dxfId="2" priority="944" operator="equal">
      <formula>"FJ"</formula>
    </cfRule>
    <cfRule type="cellIs" dxfId="3" priority="943" operator="equal">
      <formula>"FI"</formula>
    </cfRule>
    <cfRule type="cellIs" dxfId="4" priority="942" operator="equal">
      <formula>"FE"</formula>
    </cfRule>
    <cfRule type="cellIs" dxfId="5" priority="941" operator="equal">
      <formula>"SC"</formula>
    </cfRule>
    <cfRule type="cellIs" dxfId="6" priority="940" operator="equal">
      <formula>"ET"</formula>
    </cfRule>
  </conditionalFormatting>
  <conditionalFormatting sqref="W43">
    <cfRule type="cellIs" dxfId="0" priority="939" operator="equal">
      <formula>"DSR"</formula>
    </cfRule>
    <cfRule type="cellIs" dxfId="1" priority="938" operator="equal">
      <formula>"P"</formula>
    </cfRule>
    <cfRule type="cellIs" dxfId="2" priority="937" operator="equal">
      <formula>"FJ"</formula>
    </cfRule>
    <cfRule type="cellIs" dxfId="3" priority="936" operator="equal">
      <formula>"FI"</formula>
    </cfRule>
    <cfRule type="cellIs" dxfId="4" priority="935" operator="equal">
      <formula>"FE"</formula>
    </cfRule>
    <cfRule type="cellIs" dxfId="5" priority="934" operator="equal">
      <formula>"SC"</formula>
    </cfRule>
    <cfRule type="cellIs" dxfId="6" priority="933" operator="equal">
      <formula>"ET"</formula>
    </cfRule>
  </conditionalFormatting>
  <conditionalFormatting sqref="Z43">
    <cfRule type="cellIs" dxfId="0" priority="932" operator="equal">
      <formula>"DSR"</formula>
    </cfRule>
    <cfRule type="cellIs" dxfId="1" priority="931" operator="equal">
      <formula>"P"</formula>
    </cfRule>
    <cfRule type="cellIs" dxfId="2" priority="930" operator="equal">
      <formula>"FJ"</formula>
    </cfRule>
    <cfRule type="cellIs" dxfId="3" priority="929" operator="equal">
      <formula>"FI"</formula>
    </cfRule>
    <cfRule type="cellIs" dxfId="4" priority="928" operator="equal">
      <formula>"FE"</formula>
    </cfRule>
    <cfRule type="cellIs" dxfId="5" priority="927" operator="equal">
      <formula>"SC"</formula>
    </cfRule>
    <cfRule type="cellIs" dxfId="6" priority="926" operator="equal">
      <formula>"ET"</formula>
    </cfRule>
  </conditionalFormatting>
  <conditionalFormatting sqref="AA43">
    <cfRule type="cellIs" dxfId="0" priority="925" operator="equal">
      <formula>"DSR"</formula>
    </cfRule>
    <cfRule type="cellIs" dxfId="1" priority="924" operator="equal">
      <formula>"P"</formula>
    </cfRule>
    <cfRule type="cellIs" dxfId="2" priority="923" operator="equal">
      <formula>"FJ"</formula>
    </cfRule>
    <cfRule type="cellIs" dxfId="3" priority="922" operator="equal">
      <formula>"FI"</formula>
    </cfRule>
    <cfRule type="cellIs" dxfId="4" priority="921" operator="equal">
      <formula>"FE"</formula>
    </cfRule>
    <cfRule type="cellIs" dxfId="5" priority="920" operator="equal">
      <formula>"SC"</formula>
    </cfRule>
    <cfRule type="cellIs" dxfId="6" priority="919" operator="equal">
      <formula>"ET"</formula>
    </cfRule>
  </conditionalFormatting>
  <conditionalFormatting sqref="AB43">
    <cfRule type="cellIs" dxfId="0" priority="918" operator="equal">
      <formula>"DSR"</formula>
    </cfRule>
    <cfRule type="cellIs" dxfId="1" priority="917" operator="equal">
      <formula>"P"</formula>
    </cfRule>
    <cfRule type="cellIs" dxfId="2" priority="916" operator="equal">
      <formula>"FJ"</formula>
    </cfRule>
    <cfRule type="cellIs" dxfId="3" priority="915" operator="equal">
      <formula>"FI"</formula>
    </cfRule>
    <cfRule type="cellIs" dxfId="4" priority="914" operator="equal">
      <formula>"FE"</formula>
    </cfRule>
    <cfRule type="cellIs" dxfId="5" priority="913" operator="equal">
      <formula>"SC"</formula>
    </cfRule>
    <cfRule type="cellIs" dxfId="6" priority="912" operator="equal">
      <formula>"ET"</formula>
    </cfRule>
  </conditionalFormatting>
  <conditionalFormatting sqref="AC43">
    <cfRule type="cellIs" dxfId="0" priority="911" operator="equal">
      <formula>"DSR"</formula>
    </cfRule>
    <cfRule type="cellIs" dxfId="1" priority="910" operator="equal">
      <formula>"P"</formula>
    </cfRule>
    <cfRule type="cellIs" dxfId="2" priority="909" operator="equal">
      <formula>"FJ"</formula>
    </cfRule>
    <cfRule type="cellIs" dxfId="3" priority="908" operator="equal">
      <formula>"FI"</formula>
    </cfRule>
    <cfRule type="cellIs" dxfId="4" priority="907" operator="equal">
      <formula>"FE"</formula>
    </cfRule>
    <cfRule type="cellIs" dxfId="5" priority="906" operator="equal">
      <formula>"SC"</formula>
    </cfRule>
    <cfRule type="cellIs" dxfId="6" priority="905" operator="equal">
      <formula>"ET"</formula>
    </cfRule>
  </conditionalFormatting>
  <conditionalFormatting sqref="AD43">
    <cfRule type="cellIs" dxfId="0" priority="904" operator="equal">
      <formula>"DSR"</formula>
    </cfRule>
    <cfRule type="cellIs" dxfId="1" priority="903" operator="equal">
      <formula>"P"</formula>
    </cfRule>
    <cfRule type="cellIs" dxfId="2" priority="902" operator="equal">
      <formula>"FJ"</formula>
    </cfRule>
    <cfRule type="cellIs" dxfId="3" priority="901" operator="equal">
      <formula>"FI"</formula>
    </cfRule>
    <cfRule type="cellIs" dxfId="4" priority="900" operator="equal">
      <formula>"FE"</formula>
    </cfRule>
    <cfRule type="cellIs" dxfId="5" priority="899" operator="equal">
      <formula>"SC"</formula>
    </cfRule>
    <cfRule type="cellIs" dxfId="6" priority="898" operator="equal">
      <formula>"ET"</formula>
    </cfRule>
  </conditionalFormatting>
  <conditionalFormatting sqref="AF43">
    <cfRule type="cellIs" dxfId="0" priority="897" operator="equal">
      <formula>"DSR"</formula>
    </cfRule>
    <cfRule type="cellIs" dxfId="1" priority="896" operator="equal">
      <formula>"P"</formula>
    </cfRule>
    <cfRule type="cellIs" dxfId="2" priority="895" operator="equal">
      <formula>"FJ"</formula>
    </cfRule>
    <cfRule type="cellIs" dxfId="3" priority="894" operator="equal">
      <formula>"FI"</formula>
    </cfRule>
    <cfRule type="cellIs" dxfId="4" priority="893" operator="equal">
      <formula>"FE"</formula>
    </cfRule>
    <cfRule type="cellIs" dxfId="5" priority="892" operator="equal">
      <formula>"SC"</formula>
    </cfRule>
    <cfRule type="cellIs" dxfId="6" priority="891" operator="equal">
      <formula>"ET"</formula>
    </cfRule>
  </conditionalFormatting>
  <conditionalFormatting sqref="AG43">
    <cfRule type="cellIs" dxfId="0" priority="890" operator="equal">
      <formula>"DSR"</formula>
    </cfRule>
    <cfRule type="cellIs" dxfId="1" priority="889" operator="equal">
      <formula>"P"</formula>
    </cfRule>
    <cfRule type="cellIs" dxfId="2" priority="888" operator="equal">
      <formula>"FJ"</formula>
    </cfRule>
    <cfRule type="cellIs" dxfId="3" priority="887" operator="equal">
      <formula>"FI"</formula>
    </cfRule>
    <cfRule type="cellIs" dxfId="4" priority="886" operator="equal">
      <formula>"FE"</formula>
    </cfRule>
    <cfRule type="cellIs" dxfId="5" priority="885" operator="equal">
      <formula>"SC"</formula>
    </cfRule>
    <cfRule type="cellIs" dxfId="6" priority="884" operator="equal">
      <formula>"ET"</formula>
    </cfRule>
  </conditionalFormatting>
  <conditionalFormatting sqref="AH43">
    <cfRule type="cellIs" dxfId="0" priority="883" operator="equal">
      <formula>"DSR"</formula>
    </cfRule>
    <cfRule type="cellIs" dxfId="1" priority="882" operator="equal">
      <formula>"P"</formula>
    </cfRule>
    <cfRule type="cellIs" dxfId="2" priority="881" operator="equal">
      <formula>"FJ"</formula>
    </cfRule>
    <cfRule type="cellIs" dxfId="3" priority="880" operator="equal">
      <formula>"FI"</formula>
    </cfRule>
    <cfRule type="cellIs" dxfId="4" priority="879" operator="equal">
      <formula>"FE"</formula>
    </cfRule>
    <cfRule type="cellIs" dxfId="5" priority="878" operator="equal">
      <formula>"SC"</formula>
    </cfRule>
    <cfRule type="cellIs" dxfId="6" priority="877" operator="equal">
      <formula>"ET"</formula>
    </cfRule>
  </conditionalFormatting>
  <conditionalFormatting sqref="E44">
    <cfRule type="cellIs" dxfId="0" priority="439" operator="equal">
      <formula>"DSR"</formula>
    </cfRule>
    <cfRule type="cellIs" dxfId="1" priority="427" operator="equal">
      <formula>"P"</formula>
    </cfRule>
    <cfRule type="cellIs" dxfId="2" priority="415" operator="equal">
      <formula>"FJ"</formula>
    </cfRule>
    <cfRule type="cellIs" dxfId="3" priority="403" operator="equal">
      <formula>"FI"</formula>
    </cfRule>
    <cfRule type="cellIs" dxfId="4" priority="391" operator="equal">
      <formula>"FE"</formula>
    </cfRule>
    <cfRule type="cellIs" dxfId="5" priority="379" operator="equal">
      <formula>"SC"</formula>
    </cfRule>
    <cfRule type="cellIs" dxfId="6" priority="367" operator="equal">
      <formula>"ET"</formula>
    </cfRule>
  </conditionalFormatting>
  <conditionalFormatting sqref="F44:G44">
    <cfRule type="cellIs" dxfId="0" priority="523" operator="equal">
      <formula>"DSR"</formula>
    </cfRule>
    <cfRule type="cellIs" dxfId="1" priority="511" operator="equal">
      <formula>"P"</formula>
    </cfRule>
    <cfRule type="cellIs" dxfId="2" priority="499" operator="equal">
      <formula>"FJ"</formula>
    </cfRule>
    <cfRule type="cellIs" dxfId="3" priority="487" operator="equal">
      <formula>"FI"</formula>
    </cfRule>
    <cfRule type="cellIs" dxfId="4" priority="475" operator="equal">
      <formula>"FE"</formula>
    </cfRule>
    <cfRule type="cellIs" dxfId="5" priority="463" operator="equal">
      <formula>"SC"</formula>
    </cfRule>
    <cfRule type="cellIs" dxfId="6" priority="451" operator="equal">
      <formula>"ET"</formula>
    </cfRule>
  </conditionalFormatting>
  <conditionalFormatting sqref="I44">
    <cfRule type="cellIs" dxfId="0" priority="1450" operator="equal">
      <formula>"DSR"</formula>
    </cfRule>
    <cfRule type="cellIs" dxfId="1" priority="1447" operator="equal">
      <formula>"P"</formula>
    </cfRule>
    <cfRule type="cellIs" dxfId="2" priority="1444" operator="equal">
      <formula>"FJ"</formula>
    </cfRule>
    <cfRule type="cellIs" dxfId="3" priority="1441" operator="equal">
      <formula>"FI"</formula>
    </cfRule>
    <cfRule type="cellIs" dxfId="4" priority="1438" operator="equal">
      <formula>"FE"</formula>
    </cfRule>
    <cfRule type="cellIs" dxfId="5" priority="1435" operator="equal">
      <formula>"SC"</formula>
    </cfRule>
    <cfRule type="cellIs" dxfId="6" priority="1432" operator="equal">
      <formula>"ET"</formula>
    </cfRule>
  </conditionalFormatting>
  <conditionalFormatting sqref="P44">
    <cfRule type="cellIs" dxfId="0" priority="701" operator="equal">
      <formula>"DSR"</formula>
    </cfRule>
    <cfRule type="cellIs" dxfId="1" priority="700" operator="equal">
      <formula>"P"</formula>
    </cfRule>
    <cfRule type="cellIs" dxfId="2" priority="699" operator="equal">
      <formula>"FJ"</formula>
    </cfRule>
    <cfRule type="cellIs" dxfId="3" priority="698" operator="equal">
      <formula>"FI"</formula>
    </cfRule>
    <cfRule type="cellIs" dxfId="4" priority="697" operator="equal">
      <formula>"FE"</formula>
    </cfRule>
    <cfRule type="cellIs" dxfId="5" priority="696" operator="equal">
      <formula>"SC"</formula>
    </cfRule>
    <cfRule type="cellIs" dxfId="6" priority="695" operator="equal">
      <formula>"ET"</formula>
    </cfRule>
  </conditionalFormatting>
  <conditionalFormatting sqref="U44">
    <cfRule type="cellIs" dxfId="0" priority="1023" operator="equal">
      <formula>"DSR"</formula>
    </cfRule>
    <cfRule type="cellIs" dxfId="1" priority="1022" operator="equal">
      <formula>"P"</formula>
    </cfRule>
    <cfRule type="cellIs" dxfId="2" priority="1021" operator="equal">
      <formula>"FJ"</formula>
    </cfRule>
    <cfRule type="cellIs" dxfId="3" priority="1020" operator="equal">
      <formula>"FI"</formula>
    </cfRule>
    <cfRule type="cellIs" dxfId="4" priority="1019" operator="equal">
      <formula>"FE"</formula>
    </cfRule>
    <cfRule type="cellIs" dxfId="5" priority="1018" operator="equal">
      <formula>"SC"</formula>
    </cfRule>
    <cfRule type="cellIs" dxfId="6" priority="1017" operator="equal">
      <formula>"ET"</formula>
    </cfRule>
  </conditionalFormatting>
  <conditionalFormatting sqref="V44">
    <cfRule type="cellIs" dxfId="0" priority="1016" operator="equal">
      <formula>"DSR"</formula>
    </cfRule>
    <cfRule type="cellIs" dxfId="1" priority="1015" operator="equal">
      <formula>"P"</formula>
    </cfRule>
    <cfRule type="cellIs" dxfId="2" priority="1014" operator="equal">
      <formula>"FJ"</formula>
    </cfRule>
    <cfRule type="cellIs" dxfId="3" priority="1013" operator="equal">
      <formula>"FI"</formula>
    </cfRule>
    <cfRule type="cellIs" dxfId="4" priority="1012" operator="equal">
      <formula>"FE"</formula>
    </cfRule>
    <cfRule type="cellIs" dxfId="5" priority="1011" operator="equal">
      <formula>"SC"</formula>
    </cfRule>
    <cfRule type="cellIs" dxfId="6" priority="1010" operator="equal">
      <formula>"ET"</formula>
    </cfRule>
  </conditionalFormatting>
  <conditionalFormatting sqref="W44">
    <cfRule type="cellIs" dxfId="0" priority="1009" operator="equal">
      <formula>"DSR"</formula>
    </cfRule>
    <cfRule type="cellIs" dxfId="1" priority="1008" operator="equal">
      <formula>"P"</formula>
    </cfRule>
    <cfRule type="cellIs" dxfId="2" priority="1007" operator="equal">
      <formula>"FJ"</formula>
    </cfRule>
    <cfRule type="cellIs" dxfId="3" priority="1006" operator="equal">
      <formula>"FI"</formula>
    </cfRule>
    <cfRule type="cellIs" dxfId="4" priority="1005" operator="equal">
      <formula>"FE"</formula>
    </cfRule>
    <cfRule type="cellIs" dxfId="5" priority="1004" operator="equal">
      <formula>"SC"</formula>
    </cfRule>
    <cfRule type="cellIs" dxfId="6" priority="1003" operator="equal">
      <formula>"ET"</formula>
    </cfRule>
  </conditionalFormatting>
  <conditionalFormatting sqref="Z44">
    <cfRule type="cellIs" dxfId="0" priority="1002" operator="equal">
      <formula>"DSR"</formula>
    </cfRule>
    <cfRule type="cellIs" dxfId="1" priority="1001" operator="equal">
      <formula>"P"</formula>
    </cfRule>
    <cfRule type="cellIs" dxfId="2" priority="1000" operator="equal">
      <formula>"FJ"</formula>
    </cfRule>
    <cfRule type="cellIs" dxfId="3" priority="999" operator="equal">
      <formula>"FI"</formula>
    </cfRule>
    <cfRule type="cellIs" dxfId="4" priority="998" operator="equal">
      <formula>"FE"</formula>
    </cfRule>
    <cfRule type="cellIs" dxfId="5" priority="997" operator="equal">
      <formula>"SC"</formula>
    </cfRule>
    <cfRule type="cellIs" dxfId="6" priority="996" operator="equal">
      <formula>"ET"</formula>
    </cfRule>
  </conditionalFormatting>
  <conditionalFormatting sqref="AA44">
    <cfRule type="cellIs" dxfId="0" priority="995" operator="equal">
      <formula>"DSR"</formula>
    </cfRule>
    <cfRule type="cellIs" dxfId="1" priority="994" operator="equal">
      <formula>"P"</formula>
    </cfRule>
    <cfRule type="cellIs" dxfId="2" priority="993" operator="equal">
      <formula>"FJ"</formula>
    </cfRule>
    <cfRule type="cellIs" dxfId="3" priority="992" operator="equal">
      <formula>"FI"</formula>
    </cfRule>
    <cfRule type="cellIs" dxfId="4" priority="991" operator="equal">
      <formula>"FE"</formula>
    </cfRule>
    <cfRule type="cellIs" dxfId="5" priority="990" operator="equal">
      <formula>"SC"</formula>
    </cfRule>
    <cfRule type="cellIs" dxfId="6" priority="989" operator="equal">
      <formula>"ET"</formula>
    </cfRule>
  </conditionalFormatting>
  <conditionalFormatting sqref="AB44">
    <cfRule type="cellIs" dxfId="0" priority="988" operator="equal">
      <formula>"DSR"</formula>
    </cfRule>
    <cfRule type="cellIs" dxfId="1" priority="987" operator="equal">
      <formula>"P"</formula>
    </cfRule>
    <cfRule type="cellIs" dxfId="2" priority="986" operator="equal">
      <formula>"FJ"</formula>
    </cfRule>
    <cfRule type="cellIs" dxfId="3" priority="985" operator="equal">
      <formula>"FI"</formula>
    </cfRule>
    <cfRule type="cellIs" dxfId="4" priority="984" operator="equal">
      <formula>"FE"</formula>
    </cfRule>
    <cfRule type="cellIs" dxfId="5" priority="983" operator="equal">
      <formula>"SC"</formula>
    </cfRule>
    <cfRule type="cellIs" dxfId="6" priority="982" operator="equal">
      <formula>"ET"</formula>
    </cfRule>
  </conditionalFormatting>
  <conditionalFormatting sqref="AC44">
    <cfRule type="cellIs" dxfId="0" priority="981" operator="equal">
      <formula>"DSR"</formula>
    </cfRule>
    <cfRule type="cellIs" dxfId="1" priority="980" operator="equal">
      <formula>"P"</formula>
    </cfRule>
    <cfRule type="cellIs" dxfId="2" priority="979" operator="equal">
      <formula>"FJ"</formula>
    </cfRule>
    <cfRule type="cellIs" dxfId="3" priority="978" operator="equal">
      <formula>"FI"</formula>
    </cfRule>
    <cfRule type="cellIs" dxfId="4" priority="977" operator="equal">
      <formula>"FE"</formula>
    </cfRule>
    <cfRule type="cellIs" dxfId="5" priority="976" operator="equal">
      <formula>"SC"</formula>
    </cfRule>
    <cfRule type="cellIs" dxfId="6" priority="975" operator="equal">
      <formula>"ET"</formula>
    </cfRule>
  </conditionalFormatting>
  <conditionalFormatting sqref="AD44">
    <cfRule type="cellIs" dxfId="0" priority="974" operator="equal">
      <formula>"DSR"</formula>
    </cfRule>
    <cfRule type="cellIs" dxfId="1" priority="973" operator="equal">
      <formula>"P"</formula>
    </cfRule>
    <cfRule type="cellIs" dxfId="2" priority="972" operator="equal">
      <formula>"FJ"</formula>
    </cfRule>
    <cfRule type="cellIs" dxfId="3" priority="971" operator="equal">
      <formula>"FI"</formula>
    </cfRule>
    <cfRule type="cellIs" dxfId="4" priority="970" operator="equal">
      <formula>"FE"</formula>
    </cfRule>
    <cfRule type="cellIs" dxfId="5" priority="969" operator="equal">
      <formula>"SC"</formula>
    </cfRule>
    <cfRule type="cellIs" dxfId="6" priority="968" operator="equal">
      <formula>"ET"</formula>
    </cfRule>
  </conditionalFormatting>
  <conditionalFormatting sqref="AF45:AH45">
    <cfRule type="cellIs" dxfId="0" priority="1491" operator="equal">
      <formula>"DSR"</formula>
    </cfRule>
    <cfRule type="cellIs" dxfId="1" priority="1485" operator="equal">
      <formula>"P"</formula>
    </cfRule>
    <cfRule type="cellIs" dxfId="2" priority="1479" operator="equal">
      <formula>"FJ"</formula>
    </cfRule>
    <cfRule type="cellIs" dxfId="3" priority="1473" operator="equal">
      <formula>"FI"</formula>
    </cfRule>
    <cfRule type="cellIs" dxfId="4" priority="1467" operator="equal">
      <formula>"FE"</formula>
    </cfRule>
    <cfRule type="cellIs" dxfId="5" priority="1461" operator="equal">
      <formula>"SC"</formula>
    </cfRule>
    <cfRule type="cellIs" dxfId="6" priority="1455" operator="equal">
      <formula>"ET"</formula>
    </cfRule>
  </conditionalFormatting>
  <conditionalFormatting sqref="E46">
    <cfRule type="cellIs" dxfId="0" priority="438" operator="equal">
      <formula>"DSR"</formula>
    </cfRule>
    <cfRule type="cellIs" dxfId="1" priority="426" operator="equal">
      <formula>"P"</formula>
    </cfRule>
    <cfRule type="cellIs" dxfId="2" priority="414" operator="equal">
      <formula>"FJ"</formula>
    </cfRule>
    <cfRule type="cellIs" dxfId="3" priority="402" operator="equal">
      <formula>"FI"</formula>
    </cfRule>
    <cfRule type="cellIs" dxfId="4" priority="390" operator="equal">
      <formula>"FE"</formula>
    </cfRule>
    <cfRule type="cellIs" dxfId="5" priority="378" operator="equal">
      <formula>"SC"</formula>
    </cfRule>
    <cfRule type="cellIs" dxfId="6" priority="366" operator="equal">
      <formula>"ET"</formula>
    </cfRule>
  </conditionalFormatting>
  <conditionalFormatting sqref="F46:G46">
    <cfRule type="cellIs" dxfId="0" priority="522" operator="equal">
      <formula>"DSR"</formula>
    </cfRule>
    <cfRule type="cellIs" dxfId="1" priority="510" operator="equal">
      <formula>"P"</formula>
    </cfRule>
    <cfRule type="cellIs" dxfId="2" priority="498" operator="equal">
      <formula>"FJ"</formula>
    </cfRule>
    <cfRule type="cellIs" dxfId="3" priority="486" operator="equal">
      <formula>"FI"</formula>
    </cfRule>
    <cfRule type="cellIs" dxfId="4" priority="474" operator="equal">
      <formula>"FE"</formula>
    </cfRule>
    <cfRule type="cellIs" dxfId="5" priority="462" operator="equal">
      <formula>"SC"</formula>
    </cfRule>
    <cfRule type="cellIs" dxfId="6" priority="450" operator="equal">
      <formula>"ET"</formula>
    </cfRule>
  </conditionalFormatting>
  <conditionalFormatting sqref="P46">
    <cfRule type="cellIs" dxfId="0" priority="1114" operator="equal">
      <formula>"DSR"</formula>
    </cfRule>
    <cfRule type="cellIs" dxfId="1" priority="1113" operator="equal">
      <formula>"P"</formula>
    </cfRule>
    <cfRule type="cellIs" dxfId="2" priority="1112" operator="equal">
      <formula>"FJ"</formula>
    </cfRule>
    <cfRule type="cellIs" dxfId="3" priority="1111" operator="equal">
      <formula>"FI"</formula>
    </cfRule>
    <cfRule type="cellIs" dxfId="4" priority="1110" operator="equal">
      <formula>"FE"</formula>
    </cfRule>
    <cfRule type="cellIs" dxfId="5" priority="1109" operator="equal">
      <formula>"SC"</formula>
    </cfRule>
    <cfRule type="cellIs" dxfId="6" priority="1108" operator="equal">
      <formula>"ET"</formula>
    </cfRule>
  </conditionalFormatting>
  <conditionalFormatting sqref="E47">
    <cfRule type="cellIs" dxfId="0" priority="437" operator="equal">
      <formula>"DSR"</formula>
    </cfRule>
    <cfRule type="cellIs" dxfId="1" priority="425" operator="equal">
      <formula>"P"</formula>
    </cfRule>
    <cfRule type="cellIs" dxfId="2" priority="413" operator="equal">
      <formula>"FJ"</formula>
    </cfRule>
    <cfRule type="cellIs" dxfId="3" priority="401" operator="equal">
      <formula>"FI"</formula>
    </cfRule>
    <cfRule type="cellIs" dxfId="4" priority="389" operator="equal">
      <formula>"FE"</formula>
    </cfRule>
    <cfRule type="cellIs" dxfId="5" priority="377" operator="equal">
      <formula>"SC"</formula>
    </cfRule>
    <cfRule type="cellIs" dxfId="6" priority="365" operator="equal">
      <formula>"ET"</formula>
    </cfRule>
  </conditionalFormatting>
  <conditionalFormatting sqref="F47:G47">
    <cfRule type="cellIs" dxfId="0" priority="521" operator="equal">
      <formula>"DSR"</formula>
    </cfRule>
    <cfRule type="cellIs" dxfId="1" priority="509" operator="equal">
      <formula>"P"</formula>
    </cfRule>
    <cfRule type="cellIs" dxfId="2" priority="497" operator="equal">
      <formula>"FJ"</formula>
    </cfRule>
    <cfRule type="cellIs" dxfId="3" priority="485" operator="equal">
      <formula>"FI"</formula>
    </cfRule>
    <cfRule type="cellIs" dxfId="4" priority="473" operator="equal">
      <formula>"FE"</formula>
    </cfRule>
    <cfRule type="cellIs" dxfId="5" priority="461" operator="equal">
      <formula>"SC"</formula>
    </cfRule>
    <cfRule type="cellIs" dxfId="6" priority="449" operator="equal">
      <formula>"ET"</formula>
    </cfRule>
  </conditionalFormatting>
  <conditionalFormatting sqref="I47">
    <cfRule type="cellIs" dxfId="0" priority="1449" operator="equal">
      <formula>"DSR"</formula>
    </cfRule>
    <cfRule type="cellIs" dxfId="1" priority="1446" operator="equal">
      <formula>"P"</formula>
    </cfRule>
    <cfRule type="cellIs" dxfId="2" priority="1443" operator="equal">
      <formula>"FJ"</formula>
    </cfRule>
    <cfRule type="cellIs" dxfId="3" priority="1440" operator="equal">
      <formula>"FI"</formula>
    </cfRule>
    <cfRule type="cellIs" dxfId="4" priority="1437" operator="equal">
      <formula>"FE"</formula>
    </cfRule>
    <cfRule type="cellIs" dxfId="5" priority="1434" operator="equal">
      <formula>"SC"</formula>
    </cfRule>
    <cfRule type="cellIs" dxfId="6" priority="1431" operator="equal">
      <formula>"ET"</formula>
    </cfRule>
  </conditionalFormatting>
  <conditionalFormatting sqref="P47">
    <cfRule type="cellIs" dxfId="0" priority="1415" operator="equal">
      <formula>"DSR"</formula>
    </cfRule>
    <cfRule type="cellIs" dxfId="1" priority="1413" operator="equal">
      <formula>"P"</formula>
    </cfRule>
    <cfRule type="cellIs" dxfId="2" priority="1411" operator="equal">
      <formula>"FJ"</formula>
    </cfRule>
    <cfRule type="cellIs" dxfId="3" priority="1409" operator="equal">
      <formula>"FI"</formula>
    </cfRule>
    <cfRule type="cellIs" dxfId="4" priority="1407" operator="equal">
      <formula>"FE"</formula>
    </cfRule>
    <cfRule type="cellIs" dxfId="5" priority="1405" operator="equal">
      <formula>"SC"</formula>
    </cfRule>
    <cfRule type="cellIs" dxfId="6" priority="1403" operator="equal">
      <formula>"ET"</formula>
    </cfRule>
  </conditionalFormatting>
  <conditionalFormatting sqref="E48">
    <cfRule type="cellIs" dxfId="0" priority="436" operator="equal">
      <formula>"DSR"</formula>
    </cfRule>
    <cfRule type="cellIs" dxfId="1" priority="424" operator="equal">
      <formula>"P"</formula>
    </cfRule>
    <cfRule type="cellIs" dxfId="2" priority="412" operator="equal">
      <formula>"FJ"</formula>
    </cfRule>
    <cfRule type="cellIs" dxfId="3" priority="400" operator="equal">
      <formula>"FI"</formula>
    </cfRule>
    <cfRule type="cellIs" dxfId="4" priority="388" operator="equal">
      <formula>"FE"</formula>
    </cfRule>
    <cfRule type="cellIs" dxfId="5" priority="376" operator="equal">
      <formula>"SC"</formula>
    </cfRule>
    <cfRule type="cellIs" dxfId="6" priority="364" operator="equal">
      <formula>"ET"</formula>
    </cfRule>
  </conditionalFormatting>
  <conditionalFormatting sqref="F48:G48">
    <cfRule type="cellIs" dxfId="0" priority="520" operator="equal">
      <formula>"DSR"</formula>
    </cfRule>
    <cfRule type="cellIs" dxfId="1" priority="508" operator="equal">
      <formula>"P"</formula>
    </cfRule>
    <cfRule type="cellIs" dxfId="2" priority="496" operator="equal">
      <formula>"FJ"</formula>
    </cfRule>
    <cfRule type="cellIs" dxfId="3" priority="484" operator="equal">
      <formula>"FI"</formula>
    </cfRule>
    <cfRule type="cellIs" dxfId="4" priority="472" operator="equal">
      <formula>"FE"</formula>
    </cfRule>
    <cfRule type="cellIs" dxfId="5" priority="460" operator="equal">
      <formula>"SC"</formula>
    </cfRule>
    <cfRule type="cellIs" dxfId="6" priority="448" operator="equal">
      <formula>"ET"</formula>
    </cfRule>
  </conditionalFormatting>
  <conditionalFormatting sqref="P48">
    <cfRule type="cellIs" dxfId="0" priority="1100" operator="equal">
      <formula>"DSR"</formula>
    </cfRule>
    <cfRule type="cellIs" dxfId="1" priority="1099" operator="equal">
      <formula>"P"</formula>
    </cfRule>
    <cfRule type="cellIs" dxfId="2" priority="1098" operator="equal">
      <formula>"FJ"</formula>
    </cfRule>
    <cfRule type="cellIs" dxfId="3" priority="1097" operator="equal">
      <formula>"FI"</formula>
    </cfRule>
    <cfRule type="cellIs" dxfId="4" priority="1096" operator="equal">
      <formula>"FE"</formula>
    </cfRule>
    <cfRule type="cellIs" dxfId="5" priority="1095" operator="equal">
      <formula>"SC"</formula>
    </cfRule>
    <cfRule type="cellIs" dxfId="6" priority="1094" operator="equal">
      <formula>"ET"</formula>
    </cfRule>
  </conditionalFormatting>
  <conditionalFormatting sqref="E49">
    <cfRule type="cellIs" dxfId="0" priority="435" operator="equal">
      <formula>"DSR"</formula>
    </cfRule>
    <cfRule type="cellIs" dxfId="1" priority="423" operator="equal">
      <formula>"P"</formula>
    </cfRule>
    <cfRule type="cellIs" dxfId="2" priority="411" operator="equal">
      <formula>"FJ"</formula>
    </cfRule>
    <cfRule type="cellIs" dxfId="3" priority="399" operator="equal">
      <formula>"FI"</formula>
    </cfRule>
    <cfRule type="cellIs" dxfId="4" priority="387" operator="equal">
      <formula>"FE"</formula>
    </cfRule>
    <cfRule type="cellIs" dxfId="5" priority="375" operator="equal">
      <formula>"SC"</formula>
    </cfRule>
    <cfRule type="cellIs" dxfId="6" priority="363" operator="equal">
      <formula>"ET"</formula>
    </cfRule>
  </conditionalFormatting>
  <conditionalFormatting sqref="F49:G49">
    <cfRule type="cellIs" dxfId="0" priority="519" operator="equal">
      <formula>"DSR"</formula>
    </cfRule>
    <cfRule type="cellIs" dxfId="1" priority="507" operator="equal">
      <formula>"P"</formula>
    </cfRule>
    <cfRule type="cellIs" dxfId="2" priority="495" operator="equal">
      <formula>"FJ"</formula>
    </cfRule>
    <cfRule type="cellIs" dxfId="3" priority="483" operator="equal">
      <formula>"FI"</formula>
    </cfRule>
    <cfRule type="cellIs" dxfId="4" priority="471" operator="equal">
      <formula>"FE"</formula>
    </cfRule>
    <cfRule type="cellIs" dxfId="5" priority="459" operator="equal">
      <formula>"SC"</formula>
    </cfRule>
    <cfRule type="cellIs" dxfId="6" priority="447" operator="equal">
      <formula>"ET"</formula>
    </cfRule>
  </conditionalFormatting>
  <conditionalFormatting sqref="I49">
    <cfRule type="cellIs" dxfId="0" priority="1448" operator="equal">
      <formula>"DSR"</formula>
    </cfRule>
    <cfRule type="cellIs" dxfId="1" priority="1445" operator="equal">
      <formula>"P"</formula>
    </cfRule>
    <cfRule type="cellIs" dxfId="2" priority="1442" operator="equal">
      <formula>"FJ"</formula>
    </cfRule>
    <cfRule type="cellIs" dxfId="3" priority="1439" operator="equal">
      <formula>"FI"</formula>
    </cfRule>
    <cfRule type="cellIs" dxfId="4" priority="1436" operator="equal">
      <formula>"FE"</formula>
    </cfRule>
    <cfRule type="cellIs" dxfId="5" priority="1433" operator="equal">
      <formula>"SC"</formula>
    </cfRule>
    <cfRule type="cellIs" dxfId="6" priority="1430" operator="equal">
      <formula>"ET"</formula>
    </cfRule>
  </conditionalFormatting>
  <conditionalFormatting sqref="P49">
    <cfRule type="cellIs" dxfId="0" priority="1414" operator="equal">
      <formula>"DSR"</formula>
    </cfRule>
    <cfRule type="cellIs" dxfId="1" priority="1412" operator="equal">
      <formula>"P"</formula>
    </cfRule>
    <cfRule type="cellIs" dxfId="2" priority="1410" operator="equal">
      <formula>"FJ"</formula>
    </cfRule>
    <cfRule type="cellIs" dxfId="3" priority="1408" operator="equal">
      <formula>"FI"</formula>
    </cfRule>
    <cfRule type="cellIs" dxfId="4" priority="1406" operator="equal">
      <formula>"FE"</formula>
    </cfRule>
    <cfRule type="cellIs" dxfId="5" priority="1404" operator="equal">
      <formula>"SC"</formula>
    </cfRule>
    <cfRule type="cellIs" dxfId="6" priority="1402" operator="equal">
      <formula>"ET"</formula>
    </cfRule>
  </conditionalFormatting>
  <conditionalFormatting sqref="E50">
    <cfRule type="cellIs" dxfId="0" priority="434" operator="equal">
      <formula>"DSR"</formula>
    </cfRule>
    <cfRule type="cellIs" dxfId="1" priority="422" operator="equal">
      <formula>"P"</formula>
    </cfRule>
    <cfRule type="cellIs" dxfId="2" priority="410" operator="equal">
      <formula>"FJ"</formula>
    </cfRule>
    <cfRule type="cellIs" dxfId="3" priority="398" operator="equal">
      <formula>"FI"</formula>
    </cfRule>
    <cfRule type="cellIs" dxfId="4" priority="386" operator="equal">
      <formula>"FE"</formula>
    </cfRule>
    <cfRule type="cellIs" dxfId="5" priority="374" operator="equal">
      <formula>"SC"</formula>
    </cfRule>
    <cfRule type="cellIs" dxfId="6" priority="362" operator="equal">
      <formula>"ET"</formula>
    </cfRule>
  </conditionalFormatting>
  <conditionalFormatting sqref="F50:G50">
    <cfRule type="cellIs" dxfId="0" priority="518" operator="equal">
      <formula>"DSR"</formula>
    </cfRule>
    <cfRule type="cellIs" dxfId="1" priority="506" operator="equal">
      <formula>"P"</formula>
    </cfRule>
    <cfRule type="cellIs" dxfId="2" priority="494" operator="equal">
      <formula>"FJ"</formula>
    </cfRule>
    <cfRule type="cellIs" dxfId="3" priority="482" operator="equal">
      <formula>"FI"</formula>
    </cfRule>
    <cfRule type="cellIs" dxfId="4" priority="470" operator="equal">
      <formula>"FE"</formula>
    </cfRule>
    <cfRule type="cellIs" dxfId="5" priority="458" operator="equal">
      <formula>"SC"</formula>
    </cfRule>
    <cfRule type="cellIs" dxfId="6" priority="446" operator="equal">
      <formula>"ET"</formula>
    </cfRule>
  </conditionalFormatting>
  <conditionalFormatting sqref="P50">
    <cfRule type="cellIs" dxfId="0" priority="1086" operator="equal">
      <formula>"DSR"</formula>
    </cfRule>
    <cfRule type="cellIs" dxfId="1" priority="1085" operator="equal">
      <formula>"P"</formula>
    </cfRule>
    <cfRule type="cellIs" dxfId="2" priority="1084" operator="equal">
      <formula>"FJ"</formula>
    </cfRule>
    <cfRule type="cellIs" dxfId="3" priority="1083" operator="equal">
      <formula>"FI"</formula>
    </cfRule>
    <cfRule type="cellIs" dxfId="4" priority="1082" operator="equal">
      <formula>"FE"</formula>
    </cfRule>
    <cfRule type="cellIs" dxfId="5" priority="1081" operator="equal">
      <formula>"SC"</formula>
    </cfRule>
    <cfRule type="cellIs" dxfId="6" priority="1080" operator="equal">
      <formula>"ET"</formula>
    </cfRule>
  </conditionalFormatting>
  <conditionalFormatting sqref="E51">
    <cfRule type="cellIs" dxfId="0" priority="433" operator="equal">
      <formula>"DSR"</formula>
    </cfRule>
    <cfRule type="cellIs" dxfId="1" priority="421" operator="equal">
      <formula>"P"</formula>
    </cfRule>
    <cfRule type="cellIs" dxfId="2" priority="409" operator="equal">
      <formula>"FJ"</formula>
    </cfRule>
    <cfRule type="cellIs" dxfId="3" priority="397" operator="equal">
      <formula>"FI"</formula>
    </cfRule>
    <cfRule type="cellIs" dxfId="4" priority="385" operator="equal">
      <formula>"FE"</formula>
    </cfRule>
    <cfRule type="cellIs" dxfId="5" priority="373" operator="equal">
      <formula>"SC"</formula>
    </cfRule>
    <cfRule type="cellIs" dxfId="6" priority="361" operator="equal">
      <formula>"ET"</formula>
    </cfRule>
  </conditionalFormatting>
  <conditionalFormatting sqref="F51:G51">
    <cfRule type="cellIs" dxfId="0" priority="517" operator="equal">
      <formula>"DSR"</formula>
    </cfRule>
    <cfRule type="cellIs" dxfId="1" priority="505" operator="equal">
      <formula>"P"</formula>
    </cfRule>
    <cfRule type="cellIs" dxfId="2" priority="493" operator="equal">
      <formula>"FJ"</formula>
    </cfRule>
    <cfRule type="cellIs" dxfId="3" priority="481" operator="equal">
      <formula>"FI"</formula>
    </cfRule>
    <cfRule type="cellIs" dxfId="4" priority="469" operator="equal">
      <formula>"FE"</formula>
    </cfRule>
    <cfRule type="cellIs" dxfId="5" priority="457" operator="equal">
      <formula>"SC"</formula>
    </cfRule>
    <cfRule type="cellIs" dxfId="6" priority="445" operator="equal">
      <formula>"ET"</formula>
    </cfRule>
  </conditionalFormatting>
  <conditionalFormatting sqref="P51">
    <cfRule type="cellIs" dxfId="0" priority="694" operator="equal">
      <formula>"DSR"</formula>
    </cfRule>
    <cfRule type="cellIs" dxfId="1" priority="693" operator="equal">
      <formula>"P"</formula>
    </cfRule>
    <cfRule type="cellIs" dxfId="2" priority="692" operator="equal">
      <formula>"FJ"</formula>
    </cfRule>
    <cfRule type="cellIs" dxfId="3" priority="691" operator="equal">
      <formula>"FI"</formula>
    </cfRule>
    <cfRule type="cellIs" dxfId="4" priority="690" operator="equal">
      <formula>"FE"</formula>
    </cfRule>
    <cfRule type="cellIs" dxfId="5" priority="689" operator="equal">
      <formula>"SC"</formula>
    </cfRule>
    <cfRule type="cellIs" dxfId="6" priority="688" operator="equal">
      <formula>"ET"</formula>
    </cfRule>
  </conditionalFormatting>
  <conditionalFormatting sqref="V51">
    <cfRule type="cellIs" dxfId="0" priority="687" operator="equal">
      <formula>"DSR"</formula>
    </cfRule>
    <cfRule type="cellIs" dxfId="1" priority="686" operator="equal">
      <formula>"P"</formula>
    </cfRule>
    <cfRule type="cellIs" dxfId="2" priority="685" operator="equal">
      <formula>"FJ"</formula>
    </cfRule>
    <cfRule type="cellIs" dxfId="3" priority="684" operator="equal">
      <formula>"FI"</formula>
    </cfRule>
    <cfRule type="cellIs" dxfId="4" priority="683" operator="equal">
      <formula>"FE"</formula>
    </cfRule>
    <cfRule type="cellIs" dxfId="5" priority="682" operator="equal">
      <formula>"SC"</formula>
    </cfRule>
    <cfRule type="cellIs" dxfId="6" priority="681" operator="equal">
      <formula>"ET"</formula>
    </cfRule>
  </conditionalFormatting>
  <conditionalFormatting sqref="E52">
    <cfRule type="cellIs" dxfId="0" priority="432" operator="equal">
      <formula>"DSR"</formula>
    </cfRule>
    <cfRule type="cellIs" dxfId="1" priority="420" operator="equal">
      <formula>"P"</formula>
    </cfRule>
    <cfRule type="cellIs" dxfId="2" priority="408" operator="equal">
      <formula>"FJ"</formula>
    </cfRule>
    <cfRule type="cellIs" dxfId="3" priority="396" operator="equal">
      <formula>"FI"</formula>
    </cfRule>
    <cfRule type="cellIs" dxfId="4" priority="384" operator="equal">
      <formula>"FE"</formula>
    </cfRule>
    <cfRule type="cellIs" dxfId="5" priority="372" operator="equal">
      <formula>"SC"</formula>
    </cfRule>
    <cfRule type="cellIs" dxfId="6" priority="360" operator="equal">
      <formula>"ET"</formula>
    </cfRule>
  </conditionalFormatting>
  <conditionalFormatting sqref="F52:G52">
    <cfRule type="cellIs" dxfId="0" priority="516" operator="equal">
      <formula>"DSR"</formula>
    </cfRule>
    <cfRule type="cellIs" dxfId="1" priority="504" operator="equal">
      <formula>"P"</formula>
    </cfRule>
    <cfRule type="cellIs" dxfId="2" priority="492" operator="equal">
      <formula>"FJ"</formula>
    </cfRule>
    <cfRule type="cellIs" dxfId="3" priority="480" operator="equal">
      <formula>"FI"</formula>
    </cfRule>
    <cfRule type="cellIs" dxfId="4" priority="468" operator="equal">
      <formula>"FE"</formula>
    </cfRule>
    <cfRule type="cellIs" dxfId="5" priority="456" operator="equal">
      <formula>"SC"</formula>
    </cfRule>
    <cfRule type="cellIs" dxfId="6" priority="444" operator="equal">
      <formula>"ET"</formula>
    </cfRule>
  </conditionalFormatting>
  <conditionalFormatting sqref="P52">
    <cfRule type="cellIs" dxfId="0" priority="1072" operator="equal">
      <formula>"DSR"</formula>
    </cfRule>
    <cfRule type="cellIs" dxfId="1" priority="1071" operator="equal">
      <formula>"P"</formula>
    </cfRule>
    <cfRule type="cellIs" dxfId="2" priority="1070" operator="equal">
      <formula>"FJ"</formula>
    </cfRule>
    <cfRule type="cellIs" dxfId="3" priority="1069" operator="equal">
      <formula>"FI"</formula>
    </cfRule>
    <cfRule type="cellIs" dxfId="4" priority="1068" operator="equal">
      <formula>"FE"</formula>
    </cfRule>
    <cfRule type="cellIs" dxfId="5" priority="1067" operator="equal">
      <formula>"SC"</formula>
    </cfRule>
    <cfRule type="cellIs" dxfId="6" priority="1066" operator="equal">
      <formula>"ET"</formula>
    </cfRule>
  </conditionalFormatting>
  <conditionalFormatting sqref="E53">
    <cfRule type="cellIs" dxfId="0" priority="431" operator="equal">
      <formula>"DSR"</formula>
    </cfRule>
    <cfRule type="cellIs" dxfId="1" priority="419" operator="equal">
      <formula>"P"</formula>
    </cfRule>
    <cfRule type="cellIs" dxfId="2" priority="407" operator="equal">
      <formula>"FJ"</formula>
    </cfRule>
    <cfRule type="cellIs" dxfId="3" priority="395" operator="equal">
      <formula>"FI"</formula>
    </cfRule>
    <cfRule type="cellIs" dxfId="4" priority="383" operator="equal">
      <formula>"FE"</formula>
    </cfRule>
    <cfRule type="cellIs" dxfId="5" priority="371" operator="equal">
      <formula>"SC"</formula>
    </cfRule>
    <cfRule type="cellIs" dxfId="6" priority="359" operator="equal">
      <formula>"ET"</formula>
    </cfRule>
  </conditionalFormatting>
  <conditionalFormatting sqref="F53:G53">
    <cfRule type="cellIs" dxfId="0" priority="515" operator="equal">
      <formula>"DSR"</formula>
    </cfRule>
    <cfRule type="cellIs" dxfId="1" priority="503" operator="equal">
      <formula>"P"</formula>
    </cfRule>
    <cfRule type="cellIs" dxfId="2" priority="491" operator="equal">
      <formula>"FJ"</formula>
    </cfRule>
    <cfRule type="cellIs" dxfId="3" priority="479" operator="equal">
      <formula>"FI"</formula>
    </cfRule>
    <cfRule type="cellIs" dxfId="4" priority="467" operator="equal">
      <formula>"FE"</formula>
    </cfRule>
    <cfRule type="cellIs" dxfId="5" priority="455" operator="equal">
      <formula>"SC"</formula>
    </cfRule>
    <cfRule type="cellIs" dxfId="6" priority="443" operator="equal">
      <formula>"ET"</formula>
    </cfRule>
  </conditionalFormatting>
  <conditionalFormatting sqref="H68:X68">
    <cfRule type="cellIs" dxfId="0" priority="1597" operator="equal">
      <formula>"DSR"</formula>
    </cfRule>
    <cfRule type="cellIs" dxfId="1" priority="1596" operator="equal">
      <formula>"P"</formula>
    </cfRule>
    <cfRule type="cellIs" dxfId="2" priority="1595" operator="equal">
      <formula>"FJ"</formula>
    </cfRule>
    <cfRule type="cellIs" dxfId="3" priority="1594" operator="equal">
      <formula>"FI"</formula>
    </cfRule>
    <cfRule type="cellIs" dxfId="4" priority="1593" operator="equal">
      <formula>"FE"</formula>
    </cfRule>
    <cfRule type="cellIs" dxfId="5" priority="1592" operator="equal">
      <formula>"SC"</formula>
    </cfRule>
    <cfRule type="cellIs" dxfId="6" priority="1591" operator="equal">
      <formula>"ET"</formula>
    </cfRule>
  </conditionalFormatting>
  <conditionalFormatting sqref="Y68:AH68">
    <cfRule type="cellIs" dxfId="0" priority="1590" operator="equal">
      <formula>"DSR"</formula>
    </cfRule>
    <cfRule type="cellIs" dxfId="1" priority="1589" operator="equal">
      <formula>"P"</formula>
    </cfRule>
    <cfRule type="cellIs" dxfId="2" priority="1588" operator="equal">
      <formula>"FJ"</formula>
    </cfRule>
    <cfRule type="cellIs" dxfId="3" priority="1587" operator="equal">
      <formula>"FI"</formula>
    </cfRule>
    <cfRule type="cellIs" dxfId="4" priority="1586" operator="equal">
      <formula>"FE"</formula>
    </cfRule>
    <cfRule type="cellIs" dxfId="5" priority="1585" operator="equal">
      <formula>"SC"</formula>
    </cfRule>
    <cfRule type="cellIs" dxfId="6" priority="1584" operator="equal">
      <formula>"ET"</formula>
    </cfRule>
  </conditionalFormatting>
  <conditionalFormatting sqref="P69">
    <cfRule type="cellIs" dxfId="0" priority="2598" operator="equal">
      <formula>"DSR"</formula>
    </cfRule>
    <cfRule type="cellIs" dxfId="1" priority="2597" operator="equal">
      <formula>"P"</formula>
    </cfRule>
    <cfRule type="cellIs" dxfId="2" priority="2596" operator="equal">
      <formula>"FJ"</formula>
    </cfRule>
    <cfRule type="cellIs" dxfId="3" priority="2595" operator="equal">
      <formula>"FI"</formula>
    </cfRule>
    <cfRule type="cellIs" dxfId="4" priority="2594" operator="equal">
      <formula>"FE"</formula>
    </cfRule>
    <cfRule type="cellIs" dxfId="5" priority="2593" operator="equal">
      <formula>"SC"</formula>
    </cfRule>
    <cfRule type="cellIs" dxfId="6" priority="2592" operator="equal">
      <formula>"ET"</formula>
    </cfRule>
  </conditionalFormatting>
  <conditionalFormatting sqref="T69:U69">
    <cfRule type="cellIs" dxfId="0" priority="316" operator="equal">
      <formula>"DSR"</formula>
    </cfRule>
    <cfRule type="cellIs" dxfId="1" priority="315" operator="equal">
      <formula>"P"</formula>
    </cfRule>
    <cfRule type="cellIs" dxfId="2" priority="314" operator="equal">
      <formula>"FJ"</formula>
    </cfRule>
    <cfRule type="cellIs" dxfId="3" priority="313" operator="equal">
      <formula>"FI"</formula>
    </cfRule>
    <cfRule type="cellIs" dxfId="4" priority="312" operator="equal">
      <formula>"FE"</formula>
    </cfRule>
    <cfRule type="cellIs" dxfId="5" priority="311" operator="equal">
      <formula>"SC"</formula>
    </cfRule>
    <cfRule type="cellIs" dxfId="6" priority="310" operator="equal">
      <formula>"ET"</formula>
    </cfRule>
  </conditionalFormatting>
  <conditionalFormatting sqref="AA69:AB69">
    <cfRule type="cellIs" dxfId="0" priority="253" operator="equal">
      <formula>"DSR"</formula>
    </cfRule>
    <cfRule type="cellIs" dxfId="1" priority="252" operator="equal">
      <formula>"P"</formula>
    </cfRule>
    <cfRule type="cellIs" dxfId="2" priority="251" operator="equal">
      <formula>"FJ"</formula>
    </cfRule>
    <cfRule type="cellIs" dxfId="3" priority="250" operator="equal">
      <formula>"FI"</formula>
    </cfRule>
    <cfRule type="cellIs" dxfId="4" priority="249" operator="equal">
      <formula>"FE"</formula>
    </cfRule>
    <cfRule type="cellIs" dxfId="5" priority="248" operator="equal">
      <formula>"SC"</formula>
    </cfRule>
    <cfRule type="cellIs" dxfId="6" priority="247" operator="equal">
      <formula>"ET"</formula>
    </cfRule>
  </conditionalFormatting>
  <conditionalFormatting sqref="P70">
    <cfRule type="cellIs" dxfId="0" priority="2276" operator="equal">
      <formula>"DSR"</formula>
    </cfRule>
    <cfRule type="cellIs" dxfId="1" priority="2275" operator="equal">
      <formula>"P"</formula>
    </cfRule>
    <cfRule type="cellIs" dxfId="2" priority="2274" operator="equal">
      <formula>"FJ"</formula>
    </cfRule>
    <cfRule type="cellIs" dxfId="3" priority="2273" operator="equal">
      <formula>"FI"</formula>
    </cfRule>
    <cfRule type="cellIs" dxfId="4" priority="2272" operator="equal">
      <formula>"FE"</formula>
    </cfRule>
    <cfRule type="cellIs" dxfId="5" priority="2271" operator="equal">
      <formula>"SC"</formula>
    </cfRule>
    <cfRule type="cellIs" dxfId="6" priority="2270" operator="equal">
      <formula>"ET"</formula>
    </cfRule>
  </conditionalFormatting>
  <conditionalFormatting sqref="R70">
    <cfRule type="cellIs" dxfId="0" priority="2269" operator="equal">
      <formula>"DSR"</formula>
    </cfRule>
    <cfRule type="cellIs" dxfId="1" priority="2268" operator="equal">
      <formula>"P"</formula>
    </cfRule>
    <cfRule type="cellIs" dxfId="2" priority="2267" operator="equal">
      <formula>"FJ"</formula>
    </cfRule>
    <cfRule type="cellIs" dxfId="3" priority="2266" operator="equal">
      <formula>"FI"</formula>
    </cfRule>
    <cfRule type="cellIs" dxfId="4" priority="2265" operator="equal">
      <formula>"FE"</formula>
    </cfRule>
    <cfRule type="cellIs" dxfId="5" priority="2264" operator="equal">
      <formula>"SC"</formula>
    </cfRule>
    <cfRule type="cellIs" dxfId="6" priority="2263" operator="equal">
      <formula>"ET"</formula>
    </cfRule>
  </conditionalFormatting>
  <conditionalFormatting sqref="S70">
    <cfRule type="cellIs" dxfId="0" priority="2262" operator="equal">
      <formula>"DSR"</formula>
    </cfRule>
    <cfRule type="cellIs" dxfId="1" priority="2261" operator="equal">
      <formula>"P"</formula>
    </cfRule>
    <cfRule type="cellIs" dxfId="2" priority="2260" operator="equal">
      <formula>"FJ"</formula>
    </cfRule>
    <cfRule type="cellIs" dxfId="3" priority="2259" operator="equal">
      <formula>"FI"</formula>
    </cfRule>
    <cfRule type="cellIs" dxfId="4" priority="2258" operator="equal">
      <formula>"FE"</formula>
    </cfRule>
    <cfRule type="cellIs" dxfId="5" priority="2257" operator="equal">
      <formula>"SC"</formula>
    </cfRule>
    <cfRule type="cellIs" dxfId="6" priority="2256" operator="equal">
      <formula>"ET"</formula>
    </cfRule>
  </conditionalFormatting>
  <conditionalFormatting sqref="P71">
    <cfRule type="cellIs" dxfId="0" priority="2584" operator="equal">
      <formula>"DSR"</formula>
    </cfRule>
    <cfRule type="cellIs" dxfId="1" priority="2583" operator="equal">
      <formula>"P"</formula>
    </cfRule>
    <cfRule type="cellIs" dxfId="2" priority="2582" operator="equal">
      <formula>"FJ"</formula>
    </cfRule>
    <cfRule type="cellIs" dxfId="3" priority="2581" operator="equal">
      <formula>"FI"</formula>
    </cfRule>
    <cfRule type="cellIs" dxfId="4" priority="2580" operator="equal">
      <formula>"FE"</formula>
    </cfRule>
    <cfRule type="cellIs" dxfId="5" priority="2579" operator="equal">
      <formula>"SC"</formula>
    </cfRule>
    <cfRule type="cellIs" dxfId="6" priority="2578" operator="equal">
      <formula>"ET"</formula>
    </cfRule>
  </conditionalFormatting>
  <conditionalFormatting sqref="D72:G72">
    <cfRule type="cellIs" dxfId="0" priority="1625" operator="equal">
      <formula>"DSR"</formula>
    </cfRule>
    <cfRule type="cellIs" dxfId="1" priority="1624" operator="equal">
      <formula>"P"</formula>
    </cfRule>
    <cfRule type="cellIs" dxfId="2" priority="1623" operator="equal">
      <formula>"FJ"</formula>
    </cfRule>
    <cfRule type="cellIs" dxfId="3" priority="1622" operator="equal">
      <formula>"FI"</formula>
    </cfRule>
    <cfRule type="cellIs" dxfId="4" priority="1621" operator="equal">
      <formula>"FE"</formula>
    </cfRule>
    <cfRule type="cellIs" dxfId="5" priority="1620" operator="equal">
      <formula>"SC"</formula>
    </cfRule>
    <cfRule type="cellIs" dxfId="6" priority="1619" operator="equal">
      <formula>"ET"</formula>
    </cfRule>
  </conditionalFormatting>
  <conditionalFormatting sqref="H72">
    <cfRule type="cellIs" dxfId="0" priority="56" operator="equal">
      <formula>"DSR"</formula>
    </cfRule>
    <cfRule type="cellIs" dxfId="1" priority="55" operator="equal">
      <formula>"P"</formula>
    </cfRule>
    <cfRule type="cellIs" dxfId="2" priority="54" operator="equal">
      <formula>"FJ"</formula>
    </cfRule>
    <cfRule type="cellIs" dxfId="3" priority="53" operator="equal">
      <formula>"FI"</formula>
    </cfRule>
    <cfRule type="cellIs" dxfId="4" priority="52" operator="equal">
      <formula>"FE"</formula>
    </cfRule>
    <cfRule type="cellIs" dxfId="5" priority="51" operator="equal">
      <formula>"SC"</formula>
    </cfRule>
    <cfRule type="cellIs" dxfId="6" priority="50" operator="equal">
      <formula>"ET"</formula>
    </cfRule>
  </conditionalFormatting>
  <conditionalFormatting sqref="I72">
    <cfRule type="cellIs" dxfId="0" priority="49" operator="equal">
      <formula>"DSR"</formula>
    </cfRule>
    <cfRule type="cellIs" dxfId="1" priority="48" operator="equal">
      <formula>"P"</formula>
    </cfRule>
    <cfRule type="cellIs" dxfId="2" priority="47" operator="equal">
      <formula>"FJ"</formula>
    </cfRule>
    <cfRule type="cellIs" dxfId="3" priority="46" operator="equal">
      <formula>"FI"</formula>
    </cfRule>
    <cfRule type="cellIs" dxfId="4" priority="45" operator="equal">
      <formula>"FE"</formula>
    </cfRule>
    <cfRule type="cellIs" dxfId="5" priority="44" operator="equal">
      <formula>"SC"</formula>
    </cfRule>
    <cfRule type="cellIs" dxfId="6" priority="43" operator="equal">
      <formula>"ET"</formula>
    </cfRule>
  </conditionalFormatting>
  <conditionalFormatting sqref="J72">
    <cfRule type="cellIs" dxfId="0" priority="42" operator="equal">
      <formula>"DSR"</formula>
    </cfRule>
    <cfRule type="cellIs" dxfId="1" priority="41" operator="equal">
      <formula>"P"</formula>
    </cfRule>
    <cfRule type="cellIs" dxfId="2" priority="40" operator="equal">
      <formula>"FJ"</formula>
    </cfRule>
    <cfRule type="cellIs" dxfId="3" priority="39" operator="equal">
      <formula>"FI"</formula>
    </cfRule>
    <cfRule type="cellIs" dxfId="4" priority="38" operator="equal">
      <formula>"FE"</formula>
    </cfRule>
    <cfRule type="cellIs" dxfId="5" priority="37" operator="equal">
      <formula>"SC"</formula>
    </cfRule>
    <cfRule type="cellIs" dxfId="6" priority="36" operator="equal">
      <formula>"ET"</formula>
    </cfRule>
  </conditionalFormatting>
  <conditionalFormatting sqref="P72">
    <cfRule type="cellIs" dxfId="0" priority="2570" operator="equal">
      <formula>"DSR"</formula>
    </cfRule>
    <cfRule type="cellIs" dxfId="1" priority="2569" operator="equal">
      <formula>"P"</formula>
    </cfRule>
    <cfRule type="cellIs" dxfId="2" priority="2568" operator="equal">
      <formula>"FJ"</formula>
    </cfRule>
    <cfRule type="cellIs" dxfId="3" priority="2567" operator="equal">
      <formula>"FI"</formula>
    </cfRule>
    <cfRule type="cellIs" dxfId="4" priority="2566" operator="equal">
      <formula>"FE"</formula>
    </cfRule>
    <cfRule type="cellIs" dxfId="5" priority="2565" operator="equal">
      <formula>"SC"</formula>
    </cfRule>
    <cfRule type="cellIs" dxfId="6" priority="2564" operator="equal">
      <formula>"ET"</formula>
    </cfRule>
  </conditionalFormatting>
  <conditionalFormatting sqref="P76">
    <cfRule type="cellIs" dxfId="0" priority="2556" operator="equal">
      <formula>"DSR"</formula>
    </cfRule>
    <cfRule type="cellIs" dxfId="1" priority="2555" operator="equal">
      <formula>"P"</formula>
    </cfRule>
    <cfRule type="cellIs" dxfId="2" priority="2554" operator="equal">
      <formula>"FJ"</formula>
    </cfRule>
    <cfRule type="cellIs" dxfId="3" priority="2553" operator="equal">
      <formula>"FI"</formula>
    </cfRule>
    <cfRule type="cellIs" dxfId="4" priority="2552" operator="equal">
      <formula>"FE"</formula>
    </cfRule>
    <cfRule type="cellIs" dxfId="5" priority="2551" operator="equal">
      <formula>"SC"</formula>
    </cfRule>
    <cfRule type="cellIs" dxfId="6" priority="2550" operator="equal">
      <formula>"ET"</formula>
    </cfRule>
  </conditionalFormatting>
  <conditionalFormatting sqref="R77">
    <cfRule type="cellIs" dxfId="0" priority="2248" operator="equal">
      <formula>"DSR"</formula>
    </cfRule>
    <cfRule type="cellIs" dxfId="1" priority="2247" operator="equal">
      <formula>"P"</formula>
    </cfRule>
    <cfRule type="cellIs" dxfId="2" priority="2246" operator="equal">
      <formula>"FJ"</formula>
    </cfRule>
    <cfRule type="cellIs" dxfId="3" priority="2245" operator="equal">
      <formula>"FI"</formula>
    </cfRule>
    <cfRule type="cellIs" dxfId="4" priority="2244" operator="equal">
      <formula>"FE"</formula>
    </cfRule>
    <cfRule type="cellIs" dxfId="5" priority="2243" operator="equal">
      <formula>"SC"</formula>
    </cfRule>
    <cfRule type="cellIs" dxfId="6" priority="2242" operator="equal">
      <formula>"ET"</formula>
    </cfRule>
  </conditionalFormatting>
  <conditionalFormatting sqref="S77">
    <cfRule type="cellIs" dxfId="0" priority="2241" operator="equal">
      <formula>"DSR"</formula>
    </cfRule>
    <cfRule type="cellIs" dxfId="1" priority="2240" operator="equal">
      <formula>"P"</formula>
    </cfRule>
    <cfRule type="cellIs" dxfId="2" priority="2239" operator="equal">
      <formula>"FJ"</formula>
    </cfRule>
    <cfRule type="cellIs" dxfId="3" priority="2238" operator="equal">
      <formula>"FI"</formula>
    </cfRule>
    <cfRule type="cellIs" dxfId="4" priority="2237" operator="equal">
      <formula>"FE"</formula>
    </cfRule>
    <cfRule type="cellIs" dxfId="5" priority="2236" operator="equal">
      <formula>"SC"</formula>
    </cfRule>
    <cfRule type="cellIs" dxfId="6" priority="2235" operator="equal">
      <formula>"ET"</formula>
    </cfRule>
  </conditionalFormatting>
  <conditionalFormatting sqref="P78">
    <cfRule type="cellIs" dxfId="0" priority="2542" operator="equal">
      <formula>"DSR"</formula>
    </cfRule>
    <cfRule type="cellIs" dxfId="1" priority="2541" operator="equal">
      <formula>"P"</formula>
    </cfRule>
    <cfRule type="cellIs" dxfId="2" priority="2540" operator="equal">
      <formula>"FJ"</formula>
    </cfRule>
    <cfRule type="cellIs" dxfId="3" priority="2539" operator="equal">
      <formula>"FI"</formula>
    </cfRule>
    <cfRule type="cellIs" dxfId="4" priority="2538" operator="equal">
      <formula>"FE"</formula>
    </cfRule>
    <cfRule type="cellIs" dxfId="5" priority="2537" operator="equal">
      <formula>"SC"</formula>
    </cfRule>
    <cfRule type="cellIs" dxfId="6" priority="2536" operator="equal">
      <formula>"ET"</formula>
    </cfRule>
  </conditionalFormatting>
  <conditionalFormatting sqref="P80">
    <cfRule type="cellIs" dxfId="0" priority="2528" operator="equal">
      <formula>"DSR"</formula>
    </cfRule>
    <cfRule type="cellIs" dxfId="1" priority="2527" operator="equal">
      <formula>"P"</formula>
    </cfRule>
    <cfRule type="cellIs" dxfId="2" priority="2526" operator="equal">
      <formula>"FJ"</formula>
    </cfRule>
    <cfRule type="cellIs" dxfId="3" priority="2525" operator="equal">
      <formula>"FI"</formula>
    </cfRule>
    <cfRule type="cellIs" dxfId="4" priority="2524" operator="equal">
      <formula>"FE"</formula>
    </cfRule>
    <cfRule type="cellIs" dxfId="5" priority="2523" operator="equal">
      <formula>"SC"</formula>
    </cfRule>
    <cfRule type="cellIs" dxfId="6" priority="2522" operator="equal">
      <formula>"ET"</formula>
    </cfRule>
  </conditionalFormatting>
  <conditionalFormatting sqref="F81:G81">
    <cfRule type="cellIs" dxfId="0" priority="1884" operator="equal">
      <formula>"DSR"</formula>
    </cfRule>
    <cfRule type="cellIs" dxfId="1" priority="1883" operator="equal">
      <formula>"P"</formula>
    </cfRule>
    <cfRule type="cellIs" dxfId="2" priority="1882" operator="equal">
      <formula>"FJ"</formula>
    </cfRule>
    <cfRule type="cellIs" dxfId="3" priority="1881" operator="equal">
      <formula>"FI"</formula>
    </cfRule>
    <cfRule type="cellIs" dxfId="4" priority="1880" operator="equal">
      <formula>"FE"</formula>
    </cfRule>
    <cfRule type="cellIs" dxfId="5" priority="1879" operator="equal">
      <formula>"SC"</formula>
    </cfRule>
    <cfRule type="cellIs" dxfId="6" priority="1878" operator="equal">
      <formula>"ET"</formula>
    </cfRule>
  </conditionalFormatting>
  <conditionalFormatting sqref="P82">
    <cfRule type="cellIs" dxfId="0" priority="2514" operator="equal">
      <formula>"DSR"</formula>
    </cfRule>
    <cfRule type="cellIs" dxfId="1" priority="2513" operator="equal">
      <formula>"P"</formula>
    </cfRule>
    <cfRule type="cellIs" dxfId="2" priority="2512" operator="equal">
      <formula>"FJ"</formula>
    </cfRule>
    <cfRule type="cellIs" dxfId="3" priority="2511" operator="equal">
      <formula>"FI"</formula>
    </cfRule>
    <cfRule type="cellIs" dxfId="4" priority="2510" operator="equal">
      <formula>"FE"</formula>
    </cfRule>
    <cfRule type="cellIs" dxfId="5" priority="2509" operator="equal">
      <formula>"SC"</formula>
    </cfRule>
    <cfRule type="cellIs" dxfId="6" priority="2508" operator="equal">
      <formula>"ET"</formula>
    </cfRule>
  </conditionalFormatting>
  <conditionalFormatting sqref="W84:Z84">
    <cfRule type="cellIs" dxfId="0" priority="2752" operator="equal">
      <formula>"DSR"</formula>
    </cfRule>
    <cfRule type="cellIs" dxfId="1" priority="2751" operator="equal">
      <formula>"P"</formula>
    </cfRule>
    <cfRule type="cellIs" dxfId="2" priority="2750" operator="equal">
      <formula>"FJ"</formula>
    </cfRule>
    <cfRule type="cellIs" dxfId="3" priority="2749" operator="equal">
      <formula>"FI"</formula>
    </cfRule>
    <cfRule type="cellIs" dxfId="4" priority="2748" operator="equal">
      <formula>"FE"</formula>
    </cfRule>
    <cfRule type="cellIs" dxfId="5" priority="2747" operator="equal">
      <formula>"SC"</formula>
    </cfRule>
    <cfRule type="cellIs" dxfId="6" priority="2746" operator="equal">
      <formula>"ET"</formula>
    </cfRule>
  </conditionalFormatting>
  <conditionalFormatting sqref="AD84:AG84">
    <cfRule type="cellIs" dxfId="0" priority="2745" operator="equal">
      <formula>"DSR"</formula>
    </cfRule>
    <cfRule type="cellIs" dxfId="1" priority="2744" operator="equal">
      <formula>"P"</formula>
    </cfRule>
    <cfRule type="cellIs" dxfId="2" priority="2743" operator="equal">
      <formula>"FJ"</formula>
    </cfRule>
    <cfRule type="cellIs" dxfId="3" priority="2742" operator="equal">
      <formula>"FI"</formula>
    </cfRule>
    <cfRule type="cellIs" dxfId="4" priority="2741" operator="equal">
      <formula>"FE"</formula>
    </cfRule>
    <cfRule type="cellIs" dxfId="5" priority="2740" operator="equal">
      <formula>"SC"</formula>
    </cfRule>
    <cfRule type="cellIs" dxfId="6" priority="2739" operator="equal">
      <formula>"ET"</formula>
    </cfRule>
  </conditionalFormatting>
  <conditionalFormatting sqref="AI84">
    <cfRule type="cellIs" dxfId="0" priority="2766" operator="equal">
      <formula>"DSR"</formula>
    </cfRule>
    <cfRule type="cellIs" dxfId="1" priority="2765" operator="equal">
      <formula>"P"</formula>
    </cfRule>
    <cfRule type="cellIs" dxfId="2" priority="2764" operator="equal">
      <formula>"FJ"</formula>
    </cfRule>
    <cfRule type="cellIs" dxfId="3" priority="2763" operator="equal">
      <formula>"FI"</formula>
    </cfRule>
    <cfRule type="cellIs" dxfId="4" priority="2762" operator="equal">
      <formula>"FE"</formula>
    </cfRule>
    <cfRule type="cellIs" dxfId="5" priority="2761" operator="equal">
      <formula>"SC"</formula>
    </cfRule>
    <cfRule type="cellIs" dxfId="6" priority="2760" operator="equal">
      <formula>"ET"</formula>
    </cfRule>
  </conditionalFormatting>
  <conditionalFormatting sqref="P86">
    <cfRule type="cellIs" dxfId="0" priority="2500" operator="equal">
      <formula>"DSR"</formula>
    </cfRule>
    <cfRule type="cellIs" dxfId="1" priority="2499" operator="equal">
      <formula>"P"</formula>
    </cfRule>
    <cfRule type="cellIs" dxfId="2" priority="2498" operator="equal">
      <formula>"FJ"</formula>
    </cfRule>
    <cfRule type="cellIs" dxfId="3" priority="2497" operator="equal">
      <formula>"FI"</formula>
    </cfRule>
    <cfRule type="cellIs" dxfId="4" priority="2496" operator="equal">
      <formula>"FE"</formula>
    </cfRule>
    <cfRule type="cellIs" dxfId="5" priority="2495" operator="equal">
      <formula>"SC"</formula>
    </cfRule>
    <cfRule type="cellIs" dxfId="6" priority="2494" operator="equal">
      <formula>"ET"</formula>
    </cfRule>
  </conditionalFormatting>
  <conditionalFormatting sqref="P87">
    <cfRule type="cellIs" dxfId="0" priority="2486" operator="equal">
      <formula>"DSR"</formula>
    </cfRule>
    <cfRule type="cellIs" dxfId="1" priority="2485" operator="equal">
      <formula>"P"</formula>
    </cfRule>
    <cfRule type="cellIs" dxfId="2" priority="2484" operator="equal">
      <formula>"FJ"</formula>
    </cfRule>
    <cfRule type="cellIs" dxfId="3" priority="2483" operator="equal">
      <formula>"FI"</formula>
    </cfRule>
    <cfRule type="cellIs" dxfId="4" priority="2482" operator="equal">
      <formula>"FE"</formula>
    </cfRule>
    <cfRule type="cellIs" dxfId="5" priority="2481" operator="equal">
      <formula>"SC"</formula>
    </cfRule>
    <cfRule type="cellIs" dxfId="6" priority="2480" operator="equal">
      <formula>"ET"</formula>
    </cfRule>
  </conditionalFormatting>
  <conditionalFormatting sqref="P91">
    <cfRule type="cellIs" dxfId="0" priority="2472" operator="equal">
      <formula>"DSR"</formula>
    </cfRule>
    <cfRule type="cellIs" dxfId="1" priority="2471" operator="equal">
      <formula>"P"</formula>
    </cfRule>
    <cfRule type="cellIs" dxfId="2" priority="2470" operator="equal">
      <formula>"FJ"</formula>
    </cfRule>
    <cfRule type="cellIs" dxfId="3" priority="2469" operator="equal">
      <formula>"FI"</formula>
    </cfRule>
    <cfRule type="cellIs" dxfId="4" priority="2468" operator="equal">
      <formula>"FE"</formula>
    </cfRule>
    <cfRule type="cellIs" dxfId="5" priority="2467" operator="equal">
      <formula>"SC"</formula>
    </cfRule>
    <cfRule type="cellIs" dxfId="6" priority="2466" operator="equal">
      <formula>"ET"</formula>
    </cfRule>
  </conditionalFormatting>
  <conditionalFormatting sqref="P92">
    <cfRule type="cellIs" dxfId="0" priority="2458" operator="equal">
      <formula>"DSR"</formula>
    </cfRule>
    <cfRule type="cellIs" dxfId="1" priority="2457" operator="equal">
      <formula>"P"</formula>
    </cfRule>
    <cfRule type="cellIs" dxfId="2" priority="2456" operator="equal">
      <formula>"FJ"</formula>
    </cfRule>
    <cfRule type="cellIs" dxfId="3" priority="2455" operator="equal">
      <formula>"FI"</formula>
    </cfRule>
    <cfRule type="cellIs" dxfId="4" priority="2454" operator="equal">
      <formula>"FE"</formula>
    </cfRule>
    <cfRule type="cellIs" dxfId="5" priority="2453" operator="equal">
      <formula>"SC"</formula>
    </cfRule>
    <cfRule type="cellIs" dxfId="6" priority="2452" operator="equal">
      <formula>"ET"</formula>
    </cfRule>
  </conditionalFormatting>
  <conditionalFormatting sqref="P93">
    <cfRule type="cellIs" dxfId="0" priority="2444" operator="equal">
      <formula>"DSR"</formula>
    </cfRule>
    <cfRule type="cellIs" dxfId="1" priority="2443" operator="equal">
      <formula>"P"</formula>
    </cfRule>
    <cfRule type="cellIs" dxfId="2" priority="2442" operator="equal">
      <formula>"FJ"</formula>
    </cfRule>
    <cfRule type="cellIs" dxfId="3" priority="2441" operator="equal">
      <formula>"FI"</formula>
    </cfRule>
    <cfRule type="cellIs" dxfId="4" priority="2440" operator="equal">
      <formula>"FE"</formula>
    </cfRule>
    <cfRule type="cellIs" dxfId="5" priority="2439" operator="equal">
      <formula>"SC"</formula>
    </cfRule>
    <cfRule type="cellIs" dxfId="6" priority="2438" operator="equal">
      <formula>"ET"</formula>
    </cfRule>
  </conditionalFormatting>
  <conditionalFormatting sqref="P94">
    <cfRule type="cellIs" dxfId="0" priority="2430" operator="equal">
      <formula>"DSR"</formula>
    </cfRule>
    <cfRule type="cellIs" dxfId="1" priority="2429" operator="equal">
      <formula>"P"</formula>
    </cfRule>
    <cfRule type="cellIs" dxfId="2" priority="2428" operator="equal">
      <formula>"FJ"</formula>
    </cfRule>
    <cfRule type="cellIs" dxfId="3" priority="2427" operator="equal">
      <formula>"FI"</formula>
    </cfRule>
    <cfRule type="cellIs" dxfId="4" priority="2426" operator="equal">
      <formula>"FE"</formula>
    </cfRule>
    <cfRule type="cellIs" dxfId="5" priority="2425" operator="equal">
      <formula>"SC"</formula>
    </cfRule>
    <cfRule type="cellIs" dxfId="6" priority="2424" operator="equal">
      <formula>"ET"</formula>
    </cfRule>
  </conditionalFormatting>
  <conditionalFormatting sqref="P97">
    <cfRule type="cellIs" dxfId="0" priority="2416" operator="equal">
      <formula>"DSR"</formula>
    </cfRule>
    <cfRule type="cellIs" dxfId="1" priority="2415" operator="equal">
      <formula>"P"</formula>
    </cfRule>
    <cfRule type="cellIs" dxfId="2" priority="2414" operator="equal">
      <formula>"FJ"</formula>
    </cfRule>
    <cfRule type="cellIs" dxfId="3" priority="2413" operator="equal">
      <formula>"FI"</formula>
    </cfRule>
    <cfRule type="cellIs" dxfId="4" priority="2412" operator="equal">
      <formula>"FE"</formula>
    </cfRule>
    <cfRule type="cellIs" dxfId="5" priority="2411" operator="equal">
      <formula>"SC"</formula>
    </cfRule>
    <cfRule type="cellIs" dxfId="6" priority="2410" operator="equal">
      <formula>"ET"</formula>
    </cfRule>
  </conditionalFormatting>
  <conditionalFormatting sqref="F98:G98">
    <cfRule type="cellIs" dxfId="0" priority="1877" operator="equal">
      <formula>"DSR"</formula>
    </cfRule>
    <cfRule type="cellIs" dxfId="1" priority="1871" operator="equal">
      <formula>"P"</formula>
    </cfRule>
    <cfRule type="cellIs" dxfId="2" priority="1865" operator="equal">
      <formula>"FJ"</formula>
    </cfRule>
    <cfRule type="cellIs" dxfId="3" priority="1859" operator="equal">
      <formula>"FI"</formula>
    </cfRule>
    <cfRule type="cellIs" dxfId="4" priority="1853" operator="equal">
      <formula>"FE"</formula>
    </cfRule>
    <cfRule type="cellIs" dxfId="5" priority="1847" operator="equal">
      <formula>"SC"</formula>
    </cfRule>
    <cfRule type="cellIs" dxfId="6" priority="1841" operator="equal">
      <formula>"ET"</formula>
    </cfRule>
  </conditionalFormatting>
  <conditionalFormatting sqref="P98">
    <cfRule type="cellIs" dxfId="0" priority="2402" operator="equal">
      <formula>"DSR"</formula>
    </cfRule>
    <cfRule type="cellIs" dxfId="1" priority="2401" operator="equal">
      <formula>"P"</formula>
    </cfRule>
    <cfRule type="cellIs" dxfId="2" priority="2400" operator="equal">
      <formula>"FJ"</formula>
    </cfRule>
    <cfRule type="cellIs" dxfId="3" priority="2399" operator="equal">
      <formula>"FI"</formula>
    </cfRule>
    <cfRule type="cellIs" dxfId="4" priority="2398" operator="equal">
      <formula>"FE"</formula>
    </cfRule>
    <cfRule type="cellIs" dxfId="5" priority="2397" operator="equal">
      <formula>"SC"</formula>
    </cfRule>
    <cfRule type="cellIs" dxfId="6" priority="2396" operator="equal">
      <formula>"ET"</formula>
    </cfRule>
  </conditionalFormatting>
  <conditionalFormatting sqref="F99:G99">
    <cfRule type="cellIs" dxfId="0" priority="1876" operator="equal">
      <formula>"DSR"</formula>
    </cfRule>
    <cfRule type="cellIs" dxfId="1" priority="1870" operator="equal">
      <formula>"P"</formula>
    </cfRule>
    <cfRule type="cellIs" dxfId="2" priority="1864" operator="equal">
      <formula>"FJ"</formula>
    </cfRule>
    <cfRule type="cellIs" dxfId="3" priority="1858" operator="equal">
      <formula>"FI"</formula>
    </cfRule>
    <cfRule type="cellIs" dxfId="4" priority="1852" operator="equal">
      <formula>"FE"</formula>
    </cfRule>
    <cfRule type="cellIs" dxfId="5" priority="1846" operator="equal">
      <formula>"SC"</formula>
    </cfRule>
    <cfRule type="cellIs" dxfId="6" priority="1840" operator="equal">
      <formula>"ET"</formula>
    </cfRule>
  </conditionalFormatting>
  <conditionalFormatting sqref="P99">
    <cfRule type="cellIs" dxfId="0" priority="2388" operator="equal">
      <formula>"DSR"</formula>
    </cfRule>
    <cfRule type="cellIs" dxfId="1" priority="2387" operator="equal">
      <formula>"P"</formula>
    </cfRule>
    <cfRule type="cellIs" dxfId="2" priority="2386" operator="equal">
      <formula>"FJ"</formula>
    </cfRule>
    <cfRule type="cellIs" dxfId="3" priority="2385" operator="equal">
      <formula>"FI"</formula>
    </cfRule>
    <cfRule type="cellIs" dxfId="4" priority="2384" operator="equal">
      <formula>"FE"</formula>
    </cfRule>
    <cfRule type="cellIs" dxfId="5" priority="2383" operator="equal">
      <formula>"SC"</formula>
    </cfRule>
    <cfRule type="cellIs" dxfId="6" priority="2382" operator="equal">
      <formula>"ET"</formula>
    </cfRule>
  </conditionalFormatting>
  <conditionalFormatting sqref="F100:G100">
    <cfRule type="cellIs" dxfId="0" priority="1875" operator="equal">
      <formula>"DSR"</formula>
    </cfRule>
    <cfRule type="cellIs" dxfId="1" priority="1869" operator="equal">
      <formula>"P"</formula>
    </cfRule>
    <cfRule type="cellIs" dxfId="2" priority="1863" operator="equal">
      <formula>"FJ"</formula>
    </cfRule>
    <cfRule type="cellIs" dxfId="3" priority="1857" operator="equal">
      <formula>"FI"</formula>
    </cfRule>
    <cfRule type="cellIs" dxfId="4" priority="1851" operator="equal">
      <formula>"FE"</formula>
    </cfRule>
    <cfRule type="cellIs" dxfId="5" priority="1845" operator="equal">
      <formula>"SC"</formula>
    </cfRule>
    <cfRule type="cellIs" dxfId="6" priority="1839" operator="equal">
      <formula>"ET"</formula>
    </cfRule>
  </conditionalFormatting>
  <conditionalFormatting sqref="P100">
    <cfRule type="cellIs" dxfId="0" priority="2045" operator="equal">
      <formula>"DSR"</formula>
    </cfRule>
    <cfRule type="cellIs" dxfId="1" priority="2044" operator="equal">
      <formula>"P"</formula>
    </cfRule>
    <cfRule type="cellIs" dxfId="2" priority="2043" operator="equal">
      <formula>"FJ"</formula>
    </cfRule>
    <cfRule type="cellIs" dxfId="3" priority="2042" operator="equal">
      <formula>"FI"</formula>
    </cfRule>
    <cfRule type="cellIs" dxfId="4" priority="2041" operator="equal">
      <formula>"FE"</formula>
    </cfRule>
    <cfRule type="cellIs" dxfId="5" priority="2040" operator="equal">
      <formula>"SC"</formula>
    </cfRule>
    <cfRule type="cellIs" dxfId="6" priority="2039" operator="equal">
      <formula>"ET"</formula>
    </cfRule>
  </conditionalFormatting>
  <conditionalFormatting sqref="F101:G101">
    <cfRule type="cellIs" dxfId="0" priority="1874" operator="equal">
      <formula>"DSR"</formula>
    </cfRule>
    <cfRule type="cellIs" dxfId="1" priority="1868" operator="equal">
      <formula>"P"</formula>
    </cfRule>
    <cfRule type="cellIs" dxfId="2" priority="1862" operator="equal">
      <formula>"FJ"</formula>
    </cfRule>
    <cfRule type="cellIs" dxfId="3" priority="1856" operator="equal">
      <formula>"FI"</formula>
    </cfRule>
    <cfRule type="cellIs" dxfId="4" priority="1850" operator="equal">
      <formula>"FE"</formula>
    </cfRule>
    <cfRule type="cellIs" dxfId="5" priority="1844" operator="equal">
      <formula>"SC"</formula>
    </cfRule>
    <cfRule type="cellIs" dxfId="6" priority="1838" operator="equal">
      <formula>"ET"</formula>
    </cfRule>
  </conditionalFormatting>
  <conditionalFormatting sqref="P101">
    <cfRule type="cellIs" dxfId="0" priority="2374" operator="equal">
      <formula>"DSR"</formula>
    </cfRule>
    <cfRule type="cellIs" dxfId="1" priority="2373" operator="equal">
      <formula>"P"</formula>
    </cfRule>
    <cfRule type="cellIs" dxfId="2" priority="2372" operator="equal">
      <formula>"FJ"</formula>
    </cfRule>
    <cfRule type="cellIs" dxfId="3" priority="2371" operator="equal">
      <formula>"FI"</formula>
    </cfRule>
    <cfRule type="cellIs" dxfId="4" priority="2370" operator="equal">
      <formula>"FE"</formula>
    </cfRule>
    <cfRule type="cellIs" dxfId="5" priority="2369" operator="equal">
      <formula>"SC"</formula>
    </cfRule>
    <cfRule type="cellIs" dxfId="6" priority="2368" operator="equal">
      <formula>"ET"</formula>
    </cfRule>
  </conditionalFormatting>
  <conditionalFormatting sqref="F102:G102">
    <cfRule type="cellIs" dxfId="0" priority="1873" operator="equal">
      <formula>"DSR"</formula>
    </cfRule>
    <cfRule type="cellIs" dxfId="1" priority="1867" operator="equal">
      <formula>"P"</formula>
    </cfRule>
    <cfRule type="cellIs" dxfId="2" priority="1861" operator="equal">
      <formula>"FJ"</formula>
    </cfRule>
    <cfRule type="cellIs" dxfId="3" priority="1855" operator="equal">
      <formula>"FI"</formula>
    </cfRule>
    <cfRule type="cellIs" dxfId="4" priority="1849" operator="equal">
      <formula>"FE"</formula>
    </cfRule>
    <cfRule type="cellIs" dxfId="5" priority="1843" operator="equal">
      <formula>"SC"</formula>
    </cfRule>
    <cfRule type="cellIs" dxfId="6" priority="1837" operator="equal">
      <formula>"ET"</formula>
    </cfRule>
  </conditionalFormatting>
  <conditionalFormatting sqref="H102">
    <cfRule type="cellIs" dxfId="0" priority="2017" operator="equal">
      <formula>"DSR"</formula>
    </cfRule>
    <cfRule type="cellIs" dxfId="1" priority="2016" operator="equal">
      <formula>"P"</formula>
    </cfRule>
    <cfRule type="cellIs" dxfId="2" priority="2015" operator="equal">
      <formula>"FJ"</formula>
    </cfRule>
    <cfRule type="cellIs" dxfId="3" priority="2014" operator="equal">
      <formula>"FI"</formula>
    </cfRule>
    <cfRule type="cellIs" dxfId="4" priority="2013" operator="equal">
      <formula>"FE"</formula>
    </cfRule>
    <cfRule type="cellIs" dxfId="5" priority="2012" operator="equal">
      <formula>"SC"</formula>
    </cfRule>
    <cfRule type="cellIs" dxfId="6" priority="2011" operator="equal">
      <formula>"ET"</formula>
    </cfRule>
  </conditionalFormatting>
  <conditionalFormatting sqref="I102:J102">
    <cfRule type="cellIs" dxfId="0" priority="2031" operator="equal">
      <formula>"DSR"</formula>
    </cfRule>
    <cfRule type="cellIs" dxfId="1" priority="2030" operator="equal">
      <formula>"P"</formula>
    </cfRule>
    <cfRule type="cellIs" dxfId="2" priority="2029" operator="equal">
      <formula>"FJ"</formula>
    </cfRule>
    <cfRule type="cellIs" dxfId="3" priority="2028" operator="equal">
      <formula>"FI"</formula>
    </cfRule>
    <cfRule type="cellIs" dxfId="4" priority="2027" operator="equal">
      <formula>"FE"</formula>
    </cfRule>
    <cfRule type="cellIs" dxfId="5" priority="2026" operator="equal">
      <formula>"SC"</formula>
    </cfRule>
    <cfRule type="cellIs" dxfId="6" priority="2025" operator="equal">
      <formula>"ET"</formula>
    </cfRule>
  </conditionalFormatting>
  <conditionalFormatting sqref="P102">
    <cfRule type="cellIs" dxfId="0" priority="2024" operator="equal">
      <formula>"DSR"</formula>
    </cfRule>
    <cfRule type="cellIs" dxfId="1" priority="2023" operator="equal">
      <formula>"P"</formula>
    </cfRule>
    <cfRule type="cellIs" dxfId="2" priority="2022" operator="equal">
      <formula>"FJ"</formula>
    </cfRule>
    <cfRule type="cellIs" dxfId="3" priority="2021" operator="equal">
      <formula>"FI"</formula>
    </cfRule>
    <cfRule type="cellIs" dxfId="4" priority="2020" operator="equal">
      <formula>"FE"</formula>
    </cfRule>
    <cfRule type="cellIs" dxfId="5" priority="2019" operator="equal">
      <formula>"SC"</formula>
    </cfRule>
    <cfRule type="cellIs" dxfId="6" priority="2018" operator="equal">
      <formula>"ET"</formula>
    </cfRule>
  </conditionalFormatting>
  <conditionalFormatting sqref="Q102">
    <cfRule type="cellIs" dxfId="0" priority="2038" operator="equal">
      <formula>"DSR"</formula>
    </cfRule>
    <cfRule type="cellIs" dxfId="1" priority="2037" operator="equal">
      <formula>"P"</formula>
    </cfRule>
    <cfRule type="cellIs" dxfId="2" priority="2036" operator="equal">
      <formula>"FJ"</formula>
    </cfRule>
    <cfRule type="cellIs" dxfId="3" priority="2035" operator="equal">
      <formula>"FI"</formula>
    </cfRule>
    <cfRule type="cellIs" dxfId="4" priority="2034" operator="equal">
      <formula>"FE"</formula>
    </cfRule>
    <cfRule type="cellIs" dxfId="5" priority="2033" operator="equal">
      <formula>"SC"</formula>
    </cfRule>
    <cfRule type="cellIs" dxfId="6" priority="2032" operator="equal">
      <formula>"ET"</formula>
    </cfRule>
  </conditionalFormatting>
  <conditionalFormatting sqref="R102:S102">
    <cfRule type="cellIs" dxfId="0" priority="2003" operator="equal">
      <formula>"DSR"</formula>
    </cfRule>
    <cfRule type="cellIs" dxfId="1" priority="2002" operator="equal">
      <formula>"P"</formula>
    </cfRule>
    <cfRule type="cellIs" dxfId="2" priority="2001" operator="equal">
      <formula>"FJ"</formula>
    </cfRule>
    <cfRule type="cellIs" dxfId="3" priority="2000" operator="equal">
      <formula>"FI"</formula>
    </cfRule>
    <cfRule type="cellIs" dxfId="4" priority="1999" operator="equal">
      <formula>"FE"</formula>
    </cfRule>
    <cfRule type="cellIs" dxfId="5" priority="1998" operator="equal">
      <formula>"SC"</formula>
    </cfRule>
    <cfRule type="cellIs" dxfId="6" priority="1997" operator="equal">
      <formula>"ET"</formula>
    </cfRule>
  </conditionalFormatting>
  <conditionalFormatting sqref="F103:G103">
    <cfRule type="cellIs" dxfId="0" priority="1872" operator="equal">
      <formula>"DSR"</formula>
    </cfRule>
    <cfRule type="cellIs" dxfId="1" priority="1866" operator="equal">
      <formula>"P"</formula>
    </cfRule>
    <cfRule type="cellIs" dxfId="2" priority="1860" operator="equal">
      <formula>"FJ"</formula>
    </cfRule>
    <cfRule type="cellIs" dxfId="3" priority="1854" operator="equal">
      <formula>"FI"</formula>
    </cfRule>
    <cfRule type="cellIs" dxfId="4" priority="1848" operator="equal">
      <formula>"FE"</formula>
    </cfRule>
    <cfRule type="cellIs" dxfId="5" priority="1842" operator="equal">
      <formula>"SC"</formula>
    </cfRule>
    <cfRule type="cellIs" dxfId="6" priority="1836" operator="equal">
      <formula>"ET"</formula>
    </cfRule>
  </conditionalFormatting>
  <conditionalFormatting sqref="H103">
    <cfRule type="cellIs" dxfId="0" priority="1975" operator="equal">
      <formula>"DSR"</formula>
    </cfRule>
    <cfRule type="cellIs" dxfId="1" priority="1974" operator="equal">
      <formula>"P"</formula>
    </cfRule>
    <cfRule type="cellIs" dxfId="2" priority="1973" operator="equal">
      <formula>"FJ"</formula>
    </cfRule>
    <cfRule type="cellIs" dxfId="3" priority="1972" operator="equal">
      <formula>"FI"</formula>
    </cfRule>
    <cfRule type="cellIs" dxfId="4" priority="1971" operator="equal">
      <formula>"FE"</formula>
    </cfRule>
    <cfRule type="cellIs" dxfId="5" priority="1970" operator="equal">
      <formula>"SC"</formula>
    </cfRule>
    <cfRule type="cellIs" dxfId="6" priority="1969" operator="equal">
      <formula>"ET"</formula>
    </cfRule>
  </conditionalFormatting>
  <conditionalFormatting sqref="I103:J103">
    <cfRule type="cellIs" dxfId="0" priority="1989" operator="equal">
      <formula>"DSR"</formula>
    </cfRule>
    <cfRule type="cellIs" dxfId="1" priority="1988" operator="equal">
      <formula>"P"</formula>
    </cfRule>
    <cfRule type="cellIs" dxfId="2" priority="1987" operator="equal">
      <formula>"FJ"</formula>
    </cfRule>
    <cfRule type="cellIs" dxfId="3" priority="1986" operator="equal">
      <formula>"FI"</formula>
    </cfRule>
    <cfRule type="cellIs" dxfId="4" priority="1985" operator="equal">
      <formula>"FE"</formula>
    </cfRule>
    <cfRule type="cellIs" dxfId="5" priority="1984" operator="equal">
      <formula>"SC"</formula>
    </cfRule>
    <cfRule type="cellIs" dxfId="6" priority="1983" operator="equal">
      <formula>"ET"</formula>
    </cfRule>
  </conditionalFormatting>
  <conditionalFormatting sqref="P103">
    <cfRule type="cellIs" dxfId="0" priority="1982" operator="equal">
      <formula>"DSR"</formula>
    </cfRule>
    <cfRule type="cellIs" dxfId="1" priority="1981" operator="equal">
      <formula>"P"</formula>
    </cfRule>
    <cfRule type="cellIs" dxfId="2" priority="1980" operator="equal">
      <formula>"FJ"</formula>
    </cfRule>
    <cfRule type="cellIs" dxfId="3" priority="1979" operator="equal">
      <formula>"FI"</formula>
    </cfRule>
    <cfRule type="cellIs" dxfId="4" priority="1978" operator="equal">
      <formula>"FE"</formula>
    </cfRule>
    <cfRule type="cellIs" dxfId="5" priority="1977" operator="equal">
      <formula>"SC"</formula>
    </cfRule>
    <cfRule type="cellIs" dxfId="6" priority="1976" operator="equal">
      <formula>"ET"</formula>
    </cfRule>
  </conditionalFormatting>
  <conditionalFormatting sqref="Q103">
    <cfRule type="cellIs" dxfId="0" priority="1996" operator="equal">
      <formula>"DSR"</formula>
    </cfRule>
    <cfRule type="cellIs" dxfId="1" priority="1995" operator="equal">
      <formula>"P"</formula>
    </cfRule>
    <cfRule type="cellIs" dxfId="2" priority="1994" operator="equal">
      <formula>"FJ"</formula>
    </cfRule>
    <cfRule type="cellIs" dxfId="3" priority="1993" operator="equal">
      <formula>"FI"</formula>
    </cfRule>
    <cfRule type="cellIs" dxfId="4" priority="1992" operator="equal">
      <formula>"FE"</formula>
    </cfRule>
    <cfRule type="cellIs" dxfId="5" priority="1991" operator="equal">
      <formula>"SC"</formula>
    </cfRule>
    <cfRule type="cellIs" dxfId="6" priority="1990" operator="equal">
      <formula>"ET"</formula>
    </cfRule>
  </conditionalFormatting>
  <conditionalFormatting sqref="R103:S103">
    <cfRule type="cellIs" dxfId="0" priority="1961" operator="equal">
      <formula>"DSR"</formula>
    </cfRule>
    <cfRule type="cellIs" dxfId="1" priority="1960" operator="equal">
      <formula>"P"</formula>
    </cfRule>
    <cfRule type="cellIs" dxfId="2" priority="1959" operator="equal">
      <formula>"FJ"</formula>
    </cfRule>
    <cfRule type="cellIs" dxfId="3" priority="1958" operator="equal">
      <formula>"FI"</formula>
    </cfRule>
    <cfRule type="cellIs" dxfId="4" priority="1957" operator="equal">
      <formula>"FE"</formula>
    </cfRule>
    <cfRule type="cellIs" dxfId="5" priority="1956" operator="equal">
      <formula>"SC"</formula>
    </cfRule>
    <cfRule type="cellIs" dxfId="6" priority="1955" operator="equal">
      <formula>"ET"</formula>
    </cfRule>
  </conditionalFormatting>
  <conditionalFormatting sqref="D104">
    <cfRule type="cellIs" dxfId="0" priority="1688" operator="equal">
      <formula>"DSR"</formula>
    </cfRule>
    <cfRule type="cellIs" dxfId="1" priority="1679" operator="equal">
      <formula>"P"</formula>
    </cfRule>
    <cfRule type="cellIs" dxfId="2" priority="1670" operator="equal">
      <formula>"FJ"</formula>
    </cfRule>
    <cfRule type="cellIs" dxfId="3" priority="1661" operator="equal">
      <formula>"FI"</formula>
    </cfRule>
    <cfRule type="cellIs" dxfId="4" priority="1652" operator="equal">
      <formula>"FE"</formula>
    </cfRule>
    <cfRule type="cellIs" dxfId="5" priority="1643" operator="equal">
      <formula>"SC"</formula>
    </cfRule>
    <cfRule type="cellIs" dxfId="6" priority="1634" operator="equal">
      <formula>"ET"</formula>
    </cfRule>
  </conditionalFormatting>
  <conditionalFormatting sqref="E104">
    <cfRule type="cellIs" dxfId="0" priority="1751" operator="equal">
      <formula>"DSR"</formula>
    </cfRule>
    <cfRule type="cellIs" dxfId="1" priority="1742" operator="equal">
      <formula>"P"</formula>
    </cfRule>
    <cfRule type="cellIs" dxfId="2" priority="1733" operator="equal">
      <formula>"FJ"</formula>
    </cfRule>
    <cfRule type="cellIs" dxfId="3" priority="1724" operator="equal">
      <formula>"FI"</formula>
    </cfRule>
    <cfRule type="cellIs" dxfId="4" priority="1715" operator="equal">
      <formula>"FE"</formula>
    </cfRule>
    <cfRule type="cellIs" dxfId="5" priority="1706" operator="equal">
      <formula>"SC"</formula>
    </cfRule>
    <cfRule type="cellIs" dxfId="6" priority="1697" operator="equal">
      <formula>"ET"</formula>
    </cfRule>
  </conditionalFormatting>
  <conditionalFormatting sqref="F104:G104">
    <cfRule type="cellIs" dxfId="0" priority="1814" operator="equal">
      <formula>"DSR"</formula>
    </cfRule>
    <cfRule type="cellIs" dxfId="1" priority="1805" operator="equal">
      <formula>"P"</formula>
    </cfRule>
    <cfRule type="cellIs" dxfId="2" priority="1796" operator="equal">
      <formula>"FJ"</formula>
    </cfRule>
    <cfRule type="cellIs" dxfId="3" priority="1787" operator="equal">
      <formula>"FI"</formula>
    </cfRule>
    <cfRule type="cellIs" dxfId="4" priority="1778" operator="equal">
      <formula>"FE"</formula>
    </cfRule>
    <cfRule type="cellIs" dxfId="5" priority="1769" operator="equal">
      <formula>"SC"</formula>
    </cfRule>
    <cfRule type="cellIs" dxfId="6" priority="1760" operator="equal">
      <formula>"ET"</formula>
    </cfRule>
  </conditionalFormatting>
  <conditionalFormatting sqref="I104:J104">
    <cfRule type="cellIs" dxfId="0" priority="2703" operator="equal">
      <formula>"DSR"</formula>
    </cfRule>
    <cfRule type="cellIs" dxfId="1" priority="2702" operator="equal">
      <formula>"P"</formula>
    </cfRule>
    <cfRule type="cellIs" dxfId="2" priority="2701" operator="equal">
      <formula>"FJ"</formula>
    </cfRule>
    <cfRule type="cellIs" dxfId="3" priority="2700" operator="equal">
      <formula>"FI"</formula>
    </cfRule>
    <cfRule type="cellIs" dxfId="4" priority="2699" operator="equal">
      <formula>"FE"</formula>
    </cfRule>
    <cfRule type="cellIs" dxfId="5" priority="2698" operator="equal">
      <formula>"SC"</formula>
    </cfRule>
    <cfRule type="cellIs" dxfId="6" priority="2697" operator="equal">
      <formula>"ET"</formula>
    </cfRule>
  </conditionalFormatting>
  <conditionalFormatting sqref="P104">
    <cfRule type="cellIs" dxfId="0" priority="2626" operator="equal">
      <formula>"DSR"</formula>
    </cfRule>
    <cfRule type="cellIs" dxfId="1" priority="2625" operator="equal">
      <formula>"P"</formula>
    </cfRule>
    <cfRule type="cellIs" dxfId="2" priority="2624" operator="equal">
      <formula>"FJ"</formula>
    </cfRule>
    <cfRule type="cellIs" dxfId="3" priority="2623" operator="equal">
      <formula>"FI"</formula>
    </cfRule>
    <cfRule type="cellIs" dxfId="4" priority="2622" operator="equal">
      <formula>"FE"</formula>
    </cfRule>
    <cfRule type="cellIs" dxfId="5" priority="2621" operator="equal">
      <formula>"SC"</formula>
    </cfRule>
    <cfRule type="cellIs" dxfId="6" priority="2620" operator="equal">
      <formula>"ET"</formula>
    </cfRule>
  </conditionalFormatting>
  <conditionalFormatting sqref="D105">
    <cfRule type="cellIs" dxfId="0" priority="1687" operator="equal">
      <formula>"DSR"</formula>
    </cfRule>
    <cfRule type="cellIs" dxfId="1" priority="1678" operator="equal">
      <formula>"P"</formula>
    </cfRule>
    <cfRule type="cellIs" dxfId="2" priority="1669" operator="equal">
      <formula>"FJ"</formula>
    </cfRule>
    <cfRule type="cellIs" dxfId="3" priority="1660" operator="equal">
      <formula>"FI"</formula>
    </cfRule>
    <cfRule type="cellIs" dxfId="4" priority="1651" operator="equal">
      <formula>"FE"</formula>
    </cfRule>
    <cfRule type="cellIs" dxfId="5" priority="1642" operator="equal">
      <formula>"SC"</formula>
    </cfRule>
    <cfRule type="cellIs" dxfId="6" priority="1633" operator="equal">
      <formula>"ET"</formula>
    </cfRule>
  </conditionalFormatting>
  <conditionalFormatting sqref="E105">
    <cfRule type="cellIs" dxfId="0" priority="1750" operator="equal">
      <formula>"DSR"</formula>
    </cfRule>
    <cfRule type="cellIs" dxfId="1" priority="1741" operator="equal">
      <formula>"P"</formula>
    </cfRule>
    <cfRule type="cellIs" dxfId="2" priority="1732" operator="equal">
      <formula>"FJ"</formula>
    </cfRule>
    <cfRule type="cellIs" dxfId="3" priority="1723" operator="equal">
      <formula>"FI"</formula>
    </cfRule>
    <cfRule type="cellIs" dxfId="4" priority="1714" operator="equal">
      <formula>"FE"</formula>
    </cfRule>
    <cfRule type="cellIs" dxfId="5" priority="1705" operator="equal">
      <formula>"SC"</formula>
    </cfRule>
    <cfRule type="cellIs" dxfId="6" priority="1696" operator="equal">
      <formula>"ET"</formula>
    </cfRule>
  </conditionalFormatting>
  <conditionalFormatting sqref="F105:G105">
    <cfRule type="cellIs" dxfId="0" priority="1813" operator="equal">
      <formula>"DSR"</formula>
    </cfRule>
    <cfRule type="cellIs" dxfId="1" priority="1804" operator="equal">
      <formula>"P"</formula>
    </cfRule>
    <cfRule type="cellIs" dxfId="2" priority="1795" operator="equal">
      <formula>"FJ"</formula>
    </cfRule>
    <cfRule type="cellIs" dxfId="3" priority="1786" operator="equal">
      <formula>"FI"</formula>
    </cfRule>
    <cfRule type="cellIs" dxfId="4" priority="1777" operator="equal">
      <formula>"FE"</formula>
    </cfRule>
    <cfRule type="cellIs" dxfId="5" priority="1768" operator="equal">
      <formula>"SC"</formula>
    </cfRule>
    <cfRule type="cellIs" dxfId="6" priority="1759" operator="equal">
      <formula>"ET"</formula>
    </cfRule>
  </conditionalFormatting>
  <conditionalFormatting sqref="P105">
    <cfRule type="cellIs" dxfId="0" priority="2360" operator="equal">
      <formula>"DSR"</formula>
    </cfRule>
    <cfRule type="cellIs" dxfId="1" priority="2359" operator="equal">
      <formula>"P"</formula>
    </cfRule>
    <cfRule type="cellIs" dxfId="2" priority="2358" operator="equal">
      <formula>"FJ"</formula>
    </cfRule>
    <cfRule type="cellIs" dxfId="3" priority="2357" operator="equal">
      <formula>"FI"</formula>
    </cfRule>
    <cfRule type="cellIs" dxfId="4" priority="2356" operator="equal">
      <formula>"FE"</formula>
    </cfRule>
    <cfRule type="cellIs" dxfId="5" priority="2355" operator="equal">
      <formula>"SC"</formula>
    </cfRule>
    <cfRule type="cellIs" dxfId="6" priority="2354" operator="equal">
      <formula>"ET"</formula>
    </cfRule>
  </conditionalFormatting>
  <conditionalFormatting sqref="P106">
    <cfRule type="cellIs" dxfId="0" priority="2346" operator="equal">
      <formula>"DSR"</formula>
    </cfRule>
    <cfRule type="cellIs" dxfId="1" priority="2345" operator="equal">
      <formula>"P"</formula>
    </cfRule>
    <cfRule type="cellIs" dxfId="2" priority="2344" operator="equal">
      <formula>"FJ"</formula>
    </cfRule>
    <cfRule type="cellIs" dxfId="3" priority="2343" operator="equal">
      <formula>"FI"</formula>
    </cfRule>
    <cfRule type="cellIs" dxfId="4" priority="2342" operator="equal">
      <formula>"FE"</formula>
    </cfRule>
    <cfRule type="cellIs" dxfId="5" priority="2341" operator="equal">
      <formula>"SC"</formula>
    </cfRule>
    <cfRule type="cellIs" dxfId="6" priority="2340" operator="equal">
      <formula>"ET"</formula>
    </cfRule>
  </conditionalFormatting>
  <conditionalFormatting sqref="R106">
    <cfRule type="cellIs" dxfId="0" priority="2185" operator="equal">
      <formula>"DSR"</formula>
    </cfRule>
    <cfRule type="cellIs" dxfId="1" priority="2184" operator="equal">
      <formula>"P"</formula>
    </cfRule>
    <cfRule type="cellIs" dxfId="2" priority="2183" operator="equal">
      <formula>"FJ"</formula>
    </cfRule>
    <cfRule type="cellIs" dxfId="3" priority="2182" operator="equal">
      <formula>"FI"</formula>
    </cfRule>
    <cfRule type="cellIs" dxfId="4" priority="2181" operator="equal">
      <formula>"FE"</formula>
    </cfRule>
    <cfRule type="cellIs" dxfId="5" priority="2180" operator="equal">
      <formula>"SC"</formula>
    </cfRule>
    <cfRule type="cellIs" dxfId="6" priority="2179" operator="equal">
      <formula>"ET"</formula>
    </cfRule>
  </conditionalFormatting>
  <conditionalFormatting sqref="S106">
    <cfRule type="cellIs" dxfId="0" priority="2178" operator="equal">
      <formula>"DSR"</formula>
    </cfRule>
    <cfRule type="cellIs" dxfId="1" priority="2177" operator="equal">
      <formula>"P"</formula>
    </cfRule>
    <cfRule type="cellIs" dxfId="2" priority="2176" operator="equal">
      <formula>"FJ"</formula>
    </cfRule>
    <cfRule type="cellIs" dxfId="3" priority="2175" operator="equal">
      <formula>"FI"</formula>
    </cfRule>
    <cfRule type="cellIs" dxfId="4" priority="2174" operator="equal">
      <formula>"FE"</formula>
    </cfRule>
    <cfRule type="cellIs" dxfId="5" priority="2173" operator="equal">
      <formula>"SC"</formula>
    </cfRule>
    <cfRule type="cellIs" dxfId="6" priority="2172" operator="equal">
      <formula>"ET"</formula>
    </cfRule>
  </conditionalFormatting>
  <conditionalFormatting sqref="V106">
    <cfRule type="cellIs" dxfId="0" priority="2171" operator="equal">
      <formula>"DSR"</formula>
    </cfRule>
    <cfRule type="cellIs" dxfId="1" priority="2170" operator="equal">
      <formula>"P"</formula>
    </cfRule>
    <cfRule type="cellIs" dxfId="2" priority="2169" operator="equal">
      <formula>"FJ"</formula>
    </cfRule>
    <cfRule type="cellIs" dxfId="3" priority="2168" operator="equal">
      <formula>"FI"</formula>
    </cfRule>
    <cfRule type="cellIs" dxfId="4" priority="2167" operator="equal">
      <formula>"FE"</formula>
    </cfRule>
    <cfRule type="cellIs" dxfId="5" priority="2166" operator="equal">
      <formula>"SC"</formula>
    </cfRule>
    <cfRule type="cellIs" dxfId="6" priority="2165" operator="equal">
      <formula>"ET"</formula>
    </cfRule>
  </conditionalFormatting>
  <conditionalFormatting sqref="W106:X106">
    <cfRule type="cellIs" dxfId="0" priority="2164" operator="equal">
      <formula>"DSR"</formula>
    </cfRule>
    <cfRule type="cellIs" dxfId="1" priority="2163" operator="equal">
      <formula>"P"</formula>
    </cfRule>
    <cfRule type="cellIs" dxfId="2" priority="2162" operator="equal">
      <formula>"FJ"</formula>
    </cfRule>
    <cfRule type="cellIs" dxfId="3" priority="2161" operator="equal">
      <formula>"FI"</formula>
    </cfRule>
    <cfRule type="cellIs" dxfId="4" priority="2160" operator="equal">
      <formula>"FE"</formula>
    </cfRule>
    <cfRule type="cellIs" dxfId="5" priority="2159" operator="equal">
      <formula>"SC"</formula>
    </cfRule>
    <cfRule type="cellIs" dxfId="6" priority="2158" operator="equal">
      <formula>"ET"</formula>
    </cfRule>
  </conditionalFormatting>
  <conditionalFormatting sqref="Y106">
    <cfRule type="cellIs" dxfId="0" priority="2157" operator="equal">
      <formula>"DSR"</formula>
    </cfRule>
    <cfRule type="cellIs" dxfId="1" priority="2156" operator="equal">
      <formula>"P"</formula>
    </cfRule>
    <cfRule type="cellIs" dxfId="2" priority="2155" operator="equal">
      <formula>"FJ"</formula>
    </cfRule>
    <cfRule type="cellIs" dxfId="3" priority="2154" operator="equal">
      <formula>"FI"</formula>
    </cfRule>
    <cfRule type="cellIs" dxfId="4" priority="2153" operator="equal">
      <formula>"FE"</formula>
    </cfRule>
    <cfRule type="cellIs" dxfId="5" priority="2152" operator="equal">
      <formula>"SC"</formula>
    </cfRule>
    <cfRule type="cellIs" dxfId="6" priority="2151" operator="equal">
      <formula>"ET"</formula>
    </cfRule>
  </conditionalFormatting>
  <conditionalFormatting sqref="Z106">
    <cfRule type="cellIs" dxfId="0" priority="2150" operator="equal">
      <formula>"DSR"</formula>
    </cfRule>
    <cfRule type="cellIs" dxfId="1" priority="2149" operator="equal">
      <formula>"P"</formula>
    </cfRule>
    <cfRule type="cellIs" dxfId="2" priority="2148" operator="equal">
      <formula>"FJ"</formula>
    </cfRule>
    <cfRule type="cellIs" dxfId="3" priority="2147" operator="equal">
      <formula>"FI"</formula>
    </cfRule>
    <cfRule type="cellIs" dxfId="4" priority="2146" operator="equal">
      <formula>"FE"</formula>
    </cfRule>
    <cfRule type="cellIs" dxfId="5" priority="2145" operator="equal">
      <formula>"SC"</formula>
    </cfRule>
    <cfRule type="cellIs" dxfId="6" priority="2144" operator="equal">
      <formula>"ET"</formula>
    </cfRule>
  </conditionalFormatting>
  <conditionalFormatting sqref="AC106">
    <cfRule type="cellIs" dxfId="0" priority="2143" operator="equal">
      <formula>"DSR"</formula>
    </cfRule>
    <cfRule type="cellIs" dxfId="1" priority="2142" operator="equal">
      <formula>"P"</formula>
    </cfRule>
    <cfRule type="cellIs" dxfId="2" priority="2141" operator="equal">
      <formula>"FJ"</formula>
    </cfRule>
    <cfRule type="cellIs" dxfId="3" priority="2140" operator="equal">
      <formula>"FI"</formula>
    </cfRule>
    <cfRule type="cellIs" dxfId="4" priority="2139" operator="equal">
      <formula>"FE"</formula>
    </cfRule>
    <cfRule type="cellIs" dxfId="5" priority="2138" operator="equal">
      <formula>"SC"</formula>
    </cfRule>
    <cfRule type="cellIs" dxfId="6" priority="2137" operator="equal">
      <formula>"ET"</formula>
    </cfRule>
  </conditionalFormatting>
  <conditionalFormatting sqref="AD106">
    <cfRule type="cellIs" dxfId="0" priority="2136" operator="equal">
      <formula>"DSR"</formula>
    </cfRule>
    <cfRule type="cellIs" dxfId="1" priority="2135" operator="equal">
      <formula>"P"</formula>
    </cfRule>
    <cfRule type="cellIs" dxfId="2" priority="2134" operator="equal">
      <formula>"FJ"</formula>
    </cfRule>
    <cfRule type="cellIs" dxfId="3" priority="2133" operator="equal">
      <formula>"FI"</formula>
    </cfRule>
    <cfRule type="cellIs" dxfId="4" priority="2132" operator="equal">
      <formula>"FE"</formula>
    </cfRule>
    <cfRule type="cellIs" dxfId="5" priority="2131" operator="equal">
      <formula>"SC"</formula>
    </cfRule>
    <cfRule type="cellIs" dxfId="6" priority="2130" operator="equal">
      <formula>"ET"</formula>
    </cfRule>
  </conditionalFormatting>
  <conditionalFormatting sqref="AE106">
    <cfRule type="cellIs" dxfId="0" priority="2129" operator="equal">
      <formula>"DSR"</formula>
    </cfRule>
    <cfRule type="cellIs" dxfId="1" priority="2128" operator="equal">
      <formula>"P"</formula>
    </cfRule>
    <cfRule type="cellIs" dxfId="2" priority="2127" operator="equal">
      <formula>"FJ"</formula>
    </cfRule>
    <cfRule type="cellIs" dxfId="3" priority="2126" operator="equal">
      <formula>"FI"</formula>
    </cfRule>
    <cfRule type="cellIs" dxfId="4" priority="2125" operator="equal">
      <formula>"FE"</formula>
    </cfRule>
    <cfRule type="cellIs" dxfId="5" priority="2124" operator="equal">
      <formula>"SC"</formula>
    </cfRule>
    <cfRule type="cellIs" dxfId="6" priority="2123" operator="equal">
      <formula>"ET"</formula>
    </cfRule>
  </conditionalFormatting>
  <conditionalFormatting sqref="AF106">
    <cfRule type="cellIs" dxfId="0" priority="2122" operator="equal">
      <formula>"DSR"</formula>
    </cfRule>
    <cfRule type="cellIs" dxfId="1" priority="2121" operator="equal">
      <formula>"P"</formula>
    </cfRule>
    <cfRule type="cellIs" dxfId="2" priority="2120" operator="equal">
      <formula>"FJ"</formula>
    </cfRule>
    <cfRule type="cellIs" dxfId="3" priority="2119" operator="equal">
      <formula>"FI"</formula>
    </cfRule>
    <cfRule type="cellIs" dxfId="4" priority="2118" operator="equal">
      <formula>"FE"</formula>
    </cfRule>
    <cfRule type="cellIs" dxfId="5" priority="2117" operator="equal">
      <formula>"SC"</formula>
    </cfRule>
    <cfRule type="cellIs" dxfId="6" priority="2116" operator="equal">
      <formula>"ET"</formula>
    </cfRule>
  </conditionalFormatting>
  <conditionalFormatting sqref="AG106">
    <cfRule type="cellIs" dxfId="0" priority="2115" operator="equal">
      <formula>"DSR"</formula>
    </cfRule>
    <cfRule type="cellIs" dxfId="1" priority="2114" operator="equal">
      <formula>"P"</formula>
    </cfRule>
    <cfRule type="cellIs" dxfId="2" priority="2113" operator="equal">
      <formula>"FJ"</formula>
    </cfRule>
    <cfRule type="cellIs" dxfId="3" priority="2112" operator="equal">
      <formula>"FI"</formula>
    </cfRule>
    <cfRule type="cellIs" dxfId="4" priority="2111" operator="equal">
      <formula>"FE"</formula>
    </cfRule>
    <cfRule type="cellIs" dxfId="5" priority="2110" operator="equal">
      <formula>"SC"</formula>
    </cfRule>
    <cfRule type="cellIs" dxfId="6" priority="2109" operator="equal">
      <formula>"ET"</formula>
    </cfRule>
  </conditionalFormatting>
  <conditionalFormatting sqref="I107:J107">
    <cfRule type="cellIs" dxfId="0" priority="2654" operator="equal">
      <formula>"DSR"</formula>
    </cfRule>
    <cfRule type="cellIs" dxfId="1" priority="2651" operator="equal">
      <formula>"P"</formula>
    </cfRule>
    <cfRule type="cellIs" dxfId="2" priority="2648" operator="equal">
      <formula>"FJ"</formula>
    </cfRule>
    <cfRule type="cellIs" dxfId="3" priority="2645" operator="equal">
      <formula>"FI"</formula>
    </cfRule>
    <cfRule type="cellIs" dxfId="4" priority="2642" operator="equal">
      <formula>"FE"</formula>
    </cfRule>
    <cfRule type="cellIs" dxfId="5" priority="2639" operator="equal">
      <formula>"SC"</formula>
    </cfRule>
    <cfRule type="cellIs" dxfId="6" priority="2636" operator="equal">
      <formula>"ET"</formula>
    </cfRule>
  </conditionalFormatting>
  <conditionalFormatting sqref="P107">
    <cfRule type="cellIs" dxfId="0" priority="1954" operator="equal">
      <formula>"DSR"</formula>
    </cfRule>
    <cfRule type="cellIs" dxfId="1" priority="1953" operator="equal">
      <formula>"P"</formula>
    </cfRule>
    <cfRule type="cellIs" dxfId="2" priority="1952" operator="equal">
      <formula>"FJ"</formula>
    </cfRule>
    <cfRule type="cellIs" dxfId="3" priority="1951" operator="equal">
      <formula>"FI"</formula>
    </cfRule>
    <cfRule type="cellIs" dxfId="4" priority="1950" operator="equal">
      <formula>"FE"</formula>
    </cfRule>
    <cfRule type="cellIs" dxfId="5" priority="1949" operator="equal">
      <formula>"SC"</formula>
    </cfRule>
    <cfRule type="cellIs" dxfId="6" priority="1948" operator="equal">
      <formula>"ET"</formula>
    </cfRule>
  </conditionalFormatting>
  <conditionalFormatting sqref="V107">
    <cfRule type="cellIs" dxfId="0" priority="2234" operator="equal">
      <formula>"DSR"</formula>
    </cfRule>
    <cfRule type="cellIs" dxfId="1" priority="2233" operator="equal">
      <formula>"P"</formula>
    </cfRule>
    <cfRule type="cellIs" dxfId="2" priority="2232" operator="equal">
      <formula>"FJ"</formula>
    </cfRule>
    <cfRule type="cellIs" dxfId="3" priority="2231" operator="equal">
      <formula>"FI"</formula>
    </cfRule>
    <cfRule type="cellIs" dxfId="4" priority="2230" operator="equal">
      <formula>"FE"</formula>
    </cfRule>
    <cfRule type="cellIs" dxfId="5" priority="2229" operator="equal">
      <formula>"SC"</formula>
    </cfRule>
    <cfRule type="cellIs" dxfId="6" priority="2228" operator="equal">
      <formula>"ET"</formula>
    </cfRule>
  </conditionalFormatting>
  <conditionalFormatting sqref="W107">
    <cfRule type="cellIs" dxfId="0" priority="2227" operator="equal">
      <formula>"DSR"</formula>
    </cfRule>
    <cfRule type="cellIs" dxfId="1" priority="2226" operator="equal">
      <formula>"P"</formula>
    </cfRule>
    <cfRule type="cellIs" dxfId="2" priority="2225" operator="equal">
      <formula>"FJ"</formula>
    </cfRule>
    <cfRule type="cellIs" dxfId="3" priority="2224" operator="equal">
      <formula>"FI"</formula>
    </cfRule>
    <cfRule type="cellIs" dxfId="4" priority="2223" operator="equal">
      <formula>"FE"</formula>
    </cfRule>
    <cfRule type="cellIs" dxfId="5" priority="2222" operator="equal">
      <formula>"SC"</formula>
    </cfRule>
    <cfRule type="cellIs" dxfId="6" priority="2221" operator="equal">
      <formula>"ET"</formula>
    </cfRule>
  </conditionalFormatting>
  <conditionalFormatting sqref="X107">
    <cfRule type="cellIs" dxfId="0" priority="2220" operator="equal">
      <formula>"DSR"</formula>
    </cfRule>
    <cfRule type="cellIs" dxfId="1" priority="2219" operator="equal">
      <formula>"P"</formula>
    </cfRule>
    <cfRule type="cellIs" dxfId="2" priority="2218" operator="equal">
      <formula>"FJ"</formula>
    </cfRule>
    <cfRule type="cellIs" dxfId="3" priority="2217" operator="equal">
      <formula>"FI"</formula>
    </cfRule>
    <cfRule type="cellIs" dxfId="4" priority="2216" operator="equal">
      <formula>"FE"</formula>
    </cfRule>
    <cfRule type="cellIs" dxfId="5" priority="2215" operator="equal">
      <formula>"SC"</formula>
    </cfRule>
    <cfRule type="cellIs" dxfId="6" priority="2214" operator="equal">
      <formula>"ET"</formula>
    </cfRule>
  </conditionalFormatting>
  <conditionalFormatting sqref="Y107">
    <cfRule type="cellIs" dxfId="0" priority="2213" operator="equal">
      <formula>"DSR"</formula>
    </cfRule>
    <cfRule type="cellIs" dxfId="1" priority="2212" operator="equal">
      <formula>"P"</formula>
    </cfRule>
    <cfRule type="cellIs" dxfId="2" priority="2211" operator="equal">
      <formula>"FJ"</formula>
    </cfRule>
    <cfRule type="cellIs" dxfId="3" priority="2210" operator="equal">
      <formula>"FI"</formula>
    </cfRule>
    <cfRule type="cellIs" dxfId="4" priority="2209" operator="equal">
      <formula>"FE"</formula>
    </cfRule>
    <cfRule type="cellIs" dxfId="5" priority="2208" operator="equal">
      <formula>"SC"</formula>
    </cfRule>
    <cfRule type="cellIs" dxfId="6" priority="2207" operator="equal">
      <formula>"ET"</formula>
    </cfRule>
  </conditionalFormatting>
  <conditionalFormatting sqref="Z107">
    <cfRule type="cellIs" dxfId="0" priority="2206" operator="equal">
      <formula>"DSR"</formula>
    </cfRule>
    <cfRule type="cellIs" dxfId="1" priority="2205" operator="equal">
      <formula>"P"</formula>
    </cfRule>
    <cfRule type="cellIs" dxfId="2" priority="2204" operator="equal">
      <formula>"FJ"</formula>
    </cfRule>
    <cfRule type="cellIs" dxfId="3" priority="2203" operator="equal">
      <formula>"FI"</formula>
    </cfRule>
    <cfRule type="cellIs" dxfId="4" priority="2202" operator="equal">
      <formula>"FE"</formula>
    </cfRule>
    <cfRule type="cellIs" dxfId="5" priority="2201" operator="equal">
      <formula>"SC"</formula>
    </cfRule>
    <cfRule type="cellIs" dxfId="6" priority="2200" operator="equal">
      <formula>"ET"</formula>
    </cfRule>
  </conditionalFormatting>
  <conditionalFormatting sqref="AC107">
    <cfRule type="cellIs" dxfId="0" priority="2199" operator="equal">
      <formula>"DSR"</formula>
    </cfRule>
    <cfRule type="cellIs" dxfId="1" priority="2198" operator="equal">
      <formula>"P"</formula>
    </cfRule>
    <cfRule type="cellIs" dxfId="2" priority="2197" operator="equal">
      <formula>"FJ"</formula>
    </cfRule>
    <cfRule type="cellIs" dxfId="3" priority="2196" operator="equal">
      <formula>"FI"</formula>
    </cfRule>
    <cfRule type="cellIs" dxfId="4" priority="2195" operator="equal">
      <formula>"FE"</formula>
    </cfRule>
    <cfRule type="cellIs" dxfId="5" priority="2194" operator="equal">
      <formula>"SC"</formula>
    </cfRule>
    <cfRule type="cellIs" dxfId="6" priority="2193" operator="equal">
      <formula>"ET"</formula>
    </cfRule>
  </conditionalFormatting>
  <conditionalFormatting sqref="AD107">
    <cfRule type="cellIs" dxfId="0" priority="2192" operator="equal">
      <formula>"DSR"</formula>
    </cfRule>
    <cfRule type="cellIs" dxfId="1" priority="2191" operator="equal">
      <formula>"P"</formula>
    </cfRule>
    <cfRule type="cellIs" dxfId="2" priority="2190" operator="equal">
      <formula>"FJ"</formula>
    </cfRule>
    <cfRule type="cellIs" dxfId="3" priority="2189" operator="equal">
      <formula>"FI"</formula>
    </cfRule>
    <cfRule type="cellIs" dxfId="4" priority="2188" operator="equal">
      <formula>"FE"</formula>
    </cfRule>
    <cfRule type="cellIs" dxfId="5" priority="2187" operator="equal">
      <formula>"SC"</formula>
    </cfRule>
    <cfRule type="cellIs" dxfId="6" priority="2186" operator="equal">
      <formula>"ET"</formula>
    </cfRule>
  </conditionalFormatting>
  <conditionalFormatting sqref="D108:T108">
    <cfRule type="cellIs" dxfId="0" priority="1611" operator="equal">
      <formula>"DSR"</formula>
    </cfRule>
    <cfRule type="cellIs" dxfId="1" priority="1610" operator="equal">
      <formula>"P"</formula>
    </cfRule>
    <cfRule type="cellIs" dxfId="2" priority="1609" operator="equal">
      <formula>"FJ"</formula>
    </cfRule>
    <cfRule type="cellIs" dxfId="3" priority="1608" operator="equal">
      <formula>"FI"</formula>
    </cfRule>
    <cfRule type="cellIs" dxfId="4" priority="1607" operator="equal">
      <formula>"FE"</formula>
    </cfRule>
    <cfRule type="cellIs" dxfId="5" priority="1606" operator="equal">
      <formula>"SC"</formula>
    </cfRule>
    <cfRule type="cellIs" dxfId="6" priority="1605" operator="equal">
      <formula>"ET"</formula>
    </cfRule>
  </conditionalFormatting>
  <conditionalFormatting sqref="U108:AD108">
    <cfRule type="cellIs" dxfId="0" priority="1604" operator="equal">
      <formula>"DSR"</formula>
    </cfRule>
    <cfRule type="cellIs" dxfId="1" priority="1603" operator="equal">
      <formula>"P"</formula>
    </cfRule>
    <cfRule type="cellIs" dxfId="2" priority="1602" operator="equal">
      <formula>"FJ"</formula>
    </cfRule>
    <cfRule type="cellIs" dxfId="3" priority="1601" operator="equal">
      <formula>"FI"</formula>
    </cfRule>
    <cfRule type="cellIs" dxfId="4" priority="1600" operator="equal">
      <formula>"FE"</formula>
    </cfRule>
    <cfRule type="cellIs" dxfId="5" priority="1599" operator="equal">
      <formula>"SC"</formula>
    </cfRule>
    <cfRule type="cellIs" dxfId="6" priority="1598" operator="equal">
      <formula>"ET"</formula>
    </cfRule>
  </conditionalFormatting>
  <conditionalFormatting sqref="AE108:AG108">
    <cfRule type="cellIs" dxfId="0" priority="2695" operator="equal">
      <formula>"DSR"</formula>
    </cfRule>
    <cfRule type="cellIs" dxfId="1" priority="2689" operator="equal">
      <formula>"P"</formula>
    </cfRule>
    <cfRule type="cellIs" dxfId="2" priority="2683" operator="equal">
      <formula>"FJ"</formula>
    </cfRule>
    <cfRule type="cellIs" dxfId="3" priority="2677" operator="equal">
      <formula>"FI"</formula>
    </cfRule>
    <cfRule type="cellIs" dxfId="4" priority="2671" operator="equal">
      <formula>"FE"</formula>
    </cfRule>
    <cfRule type="cellIs" dxfId="5" priority="2665" operator="equal">
      <formula>"SC"</formula>
    </cfRule>
    <cfRule type="cellIs" dxfId="6" priority="2659" operator="equal">
      <formula>"ET"</formula>
    </cfRule>
  </conditionalFormatting>
  <conditionalFormatting sqref="D109">
    <cfRule type="cellIs" dxfId="0" priority="1686" operator="equal">
      <formula>"DSR"</formula>
    </cfRule>
    <cfRule type="cellIs" dxfId="1" priority="1677" operator="equal">
      <formula>"P"</formula>
    </cfRule>
    <cfRule type="cellIs" dxfId="2" priority="1668" operator="equal">
      <formula>"FJ"</formula>
    </cfRule>
    <cfRule type="cellIs" dxfId="3" priority="1659" operator="equal">
      <formula>"FI"</formula>
    </cfRule>
    <cfRule type="cellIs" dxfId="4" priority="1650" operator="equal">
      <formula>"FE"</formula>
    </cfRule>
    <cfRule type="cellIs" dxfId="5" priority="1641" operator="equal">
      <formula>"SC"</formula>
    </cfRule>
    <cfRule type="cellIs" dxfId="6" priority="1632" operator="equal">
      <formula>"ET"</formula>
    </cfRule>
  </conditionalFormatting>
  <conditionalFormatting sqref="E109">
    <cfRule type="cellIs" dxfId="0" priority="1749" operator="equal">
      <formula>"DSR"</formula>
    </cfRule>
    <cfRule type="cellIs" dxfId="1" priority="1740" operator="equal">
      <formula>"P"</formula>
    </cfRule>
    <cfRule type="cellIs" dxfId="2" priority="1731" operator="equal">
      <formula>"FJ"</formula>
    </cfRule>
    <cfRule type="cellIs" dxfId="3" priority="1722" operator="equal">
      <formula>"FI"</formula>
    </cfRule>
    <cfRule type="cellIs" dxfId="4" priority="1713" operator="equal">
      <formula>"FE"</formula>
    </cfRule>
    <cfRule type="cellIs" dxfId="5" priority="1704" operator="equal">
      <formula>"SC"</formula>
    </cfRule>
    <cfRule type="cellIs" dxfId="6" priority="1695" operator="equal">
      <formula>"ET"</formula>
    </cfRule>
  </conditionalFormatting>
  <conditionalFormatting sqref="F109:G109">
    <cfRule type="cellIs" dxfId="0" priority="1812" operator="equal">
      <formula>"DSR"</formula>
    </cfRule>
    <cfRule type="cellIs" dxfId="1" priority="1803" operator="equal">
      <formula>"P"</formula>
    </cfRule>
    <cfRule type="cellIs" dxfId="2" priority="1794" operator="equal">
      <formula>"FJ"</formula>
    </cfRule>
    <cfRule type="cellIs" dxfId="3" priority="1785" operator="equal">
      <formula>"FI"</formula>
    </cfRule>
    <cfRule type="cellIs" dxfId="4" priority="1776" operator="equal">
      <formula>"FE"</formula>
    </cfRule>
    <cfRule type="cellIs" dxfId="5" priority="1767" operator="equal">
      <formula>"SC"</formula>
    </cfRule>
    <cfRule type="cellIs" dxfId="6" priority="1758" operator="equal">
      <formula>"ET"</formula>
    </cfRule>
  </conditionalFormatting>
  <conditionalFormatting sqref="M109:N109">
    <cfRule type="cellIs" dxfId="0" priority="281" operator="equal">
      <formula>"DSR"</formula>
    </cfRule>
    <cfRule type="cellIs" dxfId="1" priority="280" operator="equal">
      <formula>"P"</formula>
    </cfRule>
    <cfRule type="cellIs" dxfId="2" priority="279" operator="equal">
      <formula>"FJ"</formula>
    </cfRule>
    <cfRule type="cellIs" dxfId="3" priority="278" operator="equal">
      <formula>"FI"</formula>
    </cfRule>
    <cfRule type="cellIs" dxfId="4" priority="277" operator="equal">
      <formula>"FE"</formula>
    </cfRule>
    <cfRule type="cellIs" dxfId="5" priority="276" operator="equal">
      <formula>"SC"</formula>
    </cfRule>
    <cfRule type="cellIs" dxfId="6" priority="275" operator="equal">
      <formula>"ET"</formula>
    </cfRule>
  </conditionalFormatting>
  <conditionalFormatting sqref="P109">
    <cfRule type="cellIs" dxfId="0" priority="2332" operator="equal">
      <formula>"DSR"</formula>
    </cfRule>
    <cfRule type="cellIs" dxfId="1" priority="2331" operator="equal">
      <formula>"P"</formula>
    </cfRule>
    <cfRule type="cellIs" dxfId="2" priority="2330" operator="equal">
      <formula>"FJ"</formula>
    </cfRule>
    <cfRule type="cellIs" dxfId="3" priority="2329" operator="equal">
      <formula>"FI"</formula>
    </cfRule>
    <cfRule type="cellIs" dxfId="4" priority="2328" operator="equal">
      <formula>"FE"</formula>
    </cfRule>
    <cfRule type="cellIs" dxfId="5" priority="2327" operator="equal">
      <formula>"SC"</formula>
    </cfRule>
    <cfRule type="cellIs" dxfId="6" priority="2326" operator="equal">
      <formula>"ET"</formula>
    </cfRule>
  </conditionalFormatting>
  <conditionalFormatting sqref="D110">
    <cfRule type="cellIs" dxfId="0" priority="1685" operator="equal">
      <formula>"DSR"</formula>
    </cfRule>
    <cfRule type="cellIs" dxfId="1" priority="1676" operator="equal">
      <formula>"P"</formula>
    </cfRule>
    <cfRule type="cellIs" dxfId="2" priority="1667" operator="equal">
      <formula>"FJ"</formula>
    </cfRule>
    <cfRule type="cellIs" dxfId="3" priority="1658" operator="equal">
      <formula>"FI"</formula>
    </cfRule>
    <cfRule type="cellIs" dxfId="4" priority="1649" operator="equal">
      <formula>"FE"</formula>
    </cfRule>
    <cfRule type="cellIs" dxfId="5" priority="1640" operator="equal">
      <formula>"SC"</formula>
    </cfRule>
    <cfRule type="cellIs" dxfId="6" priority="1631" operator="equal">
      <formula>"ET"</formula>
    </cfRule>
  </conditionalFormatting>
  <conditionalFormatting sqref="E110">
    <cfRule type="cellIs" dxfId="0" priority="1748" operator="equal">
      <formula>"DSR"</formula>
    </cfRule>
    <cfRule type="cellIs" dxfId="1" priority="1739" operator="equal">
      <formula>"P"</formula>
    </cfRule>
    <cfRule type="cellIs" dxfId="2" priority="1730" operator="equal">
      <formula>"FJ"</formula>
    </cfRule>
    <cfRule type="cellIs" dxfId="3" priority="1721" operator="equal">
      <formula>"FI"</formula>
    </cfRule>
    <cfRule type="cellIs" dxfId="4" priority="1712" operator="equal">
      <formula>"FE"</formula>
    </cfRule>
    <cfRule type="cellIs" dxfId="5" priority="1703" operator="equal">
      <formula>"SC"</formula>
    </cfRule>
    <cfRule type="cellIs" dxfId="6" priority="1694" operator="equal">
      <formula>"ET"</formula>
    </cfRule>
  </conditionalFormatting>
  <conditionalFormatting sqref="F110:G110">
    <cfRule type="cellIs" dxfId="0" priority="1811" operator="equal">
      <formula>"DSR"</formula>
    </cfRule>
    <cfRule type="cellIs" dxfId="1" priority="1802" operator="equal">
      <formula>"P"</formula>
    </cfRule>
    <cfRule type="cellIs" dxfId="2" priority="1793" operator="equal">
      <formula>"FJ"</formula>
    </cfRule>
    <cfRule type="cellIs" dxfId="3" priority="1784" operator="equal">
      <formula>"FI"</formula>
    </cfRule>
    <cfRule type="cellIs" dxfId="4" priority="1775" operator="equal">
      <formula>"FE"</formula>
    </cfRule>
    <cfRule type="cellIs" dxfId="5" priority="1766" operator="equal">
      <formula>"SC"</formula>
    </cfRule>
    <cfRule type="cellIs" dxfId="6" priority="1757" operator="equal">
      <formula>"ET"</formula>
    </cfRule>
  </conditionalFormatting>
  <conditionalFormatting sqref="I110:J110">
    <cfRule type="cellIs" dxfId="0" priority="2653" operator="equal">
      <formula>"DSR"</formula>
    </cfRule>
    <cfRule type="cellIs" dxfId="1" priority="2650" operator="equal">
      <formula>"P"</formula>
    </cfRule>
    <cfRule type="cellIs" dxfId="2" priority="2647" operator="equal">
      <formula>"FJ"</formula>
    </cfRule>
    <cfRule type="cellIs" dxfId="3" priority="2644" operator="equal">
      <formula>"FI"</formula>
    </cfRule>
    <cfRule type="cellIs" dxfId="4" priority="2641" operator="equal">
      <formula>"FE"</formula>
    </cfRule>
    <cfRule type="cellIs" dxfId="5" priority="2638" operator="equal">
      <formula>"SC"</formula>
    </cfRule>
    <cfRule type="cellIs" dxfId="6" priority="2635" operator="equal">
      <formula>"ET"</formula>
    </cfRule>
  </conditionalFormatting>
  <conditionalFormatting sqref="P110">
    <cfRule type="cellIs" dxfId="0" priority="2619" operator="equal">
      <formula>"DSR"</formula>
    </cfRule>
    <cfRule type="cellIs" dxfId="1" priority="2617" operator="equal">
      <formula>"P"</formula>
    </cfRule>
    <cfRule type="cellIs" dxfId="2" priority="2615" operator="equal">
      <formula>"FJ"</formula>
    </cfRule>
    <cfRule type="cellIs" dxfId="3" priority="2613" operator="equal">
      <formula>"FI"</formula>
    </cfRule>
    <cfRule type="cellIs" dxfId="4" priority="2611" operator="equal">
      <formula>"FE"</formula>
    </cfRule>
    <cfRule type="cellIs" dxfId="5" priority="2609" operator="equal">
      <formula>"SC"</formula>
    </cfRule>
    <cfRule type="cellIs" dxfId="6" priority="2607" operator="equal">
      <formula>"ET"</formula>
    </cfRule>
  </conditionalFormatting>
  <conditionalFormatting sqref="D111">
    <cfRule type="cellIs" dxfId="0" priority="1684" operator="equal">
      <formula>"DSR"</formula>
    </cfRule>
    <cfRule type="cellIs" dxfId="1" priority="1675" operator="equal">
      <formula>"P"</formula>
    </cfRule>
    <cfRule type="cellIs" dxfId="2" priority="1666" operator="equal">
      <formula>"FJ"</formula>
    </cfRule>
    <cfRule type="cellIs" dxfId="3" priority="1657" operator="equal">
      <formula>"FI"</formula>
    </cfRule>
    <cfRule type="cellIs" dxfId="4" priority="1648" operator="equal">
      <formula>"FE"</formula>
    </cfRule>
    <cfRule type="cellIs" dxfId="5" priority="1639" operator="equal">
      <formula>"SC"</formula>
    </cfRule>
    <cfRule type="cellIs" dxfId="6" priority="1630" operator="equal">
      <formula>"ET"</formula>
    </cfRule>
  </conditionalFormatting>
  <conditionalFormatting sqref="E111">
    <cfRule type="cellIs" dxfId="0" priority="1747" operator="equal">
      <formula>"DSR"</formula>
    </cfRule>
    <cfRule type="cellIs" dxfId="1" priority="1738" operator="equal">
      <formula>"P"</formula>
    </cfRule>
    <cfRule type="cellIs" dxfId="2" priority="1729" operator="equal">
      <formula>"FJ"</formula>
    </cfRule>
    <cfRule type="cellIs" dxfId="3" priority="1720" operator="equal">
      <formula>"FI"</formula>
    </cfRule>
    <cfRule type="cellIs" dxfId="4" priority="1711" operator="equal">
      <formula>"FE"</formula>
    </cfRule>
    <cfRule type="cellIs" dxfId="5" priority="1702" operator="equal">
      <formula>"SC"</formula>
    </cfRule>
    <cfRule type="cellIs" dxfId="6" priority="1693" operator="equal">
      <formula>"ET"</formula>
    </cfRule>
  </conditionalFormatting>
  <conditionalFormatting sqref="F111:G111">
    <cfRule type="cellIs" dxfId="0" priority="1810" operator="equal">
      <formula>"DSR"</formula>
    </cfRule>
    <cfRule type="cellIs" dxfId="1" priority="1801" operator="equal">
      <formula>"P"</formula>
    </cfRule>
    <cfRule type="cellIs" dxfId="2" priority="1792" operator="equal">
      <formula>"FJ"</formula>
    </cfRule>
    <cfRule type="cellIs" dxfId="3" priority="1783" operator="equal">
      <formula>"FI"</formula>
    </cfRule>
    <cfRule type="cellIs" dxfId="4" priority="1774" operator="equal">
      <formula>"FE"</formula>
    </cfRule>
    <cfRule type="cellIs" dxfId="5" priority="1765" operator="equal">
      <formula>"SC"</formula>
    </cfRule>
    <cfRule type="cellIs" dxfId="6" priority="1756" operator="equal">
      <formula>"ET"</formula>
    </cfRule>
  </conditionalFormatting>
  <conditionalFormatting sqref="P111">
    <cfRule type="cellIs" dxfId="0" priority="2318" operator="equal">
      <formula>"DSR"</formula>
    </cfRule>
    <cfRule type="cellIs" dxfId="1" priority="2317" operator="equal">
      <formula>"P"</formula>
    </cfRule>
    <cfRule type="cellIs" dxfId="2" priority="2316" operator="equal">
      <formula>"FJ"</formula>
    </cfRule>
    <cfRule type="cellIs" dxfId="3" priority="2315" operator="equal">
      <formula>"FI"</formula>
    </cfRule>
    <cfRule type="cellIs" dxfId="4" priority="2314" operator="equal">
      <formula>"FE"</formula>
    </cfRule>
    <cfRule type="cellIs" dxfId="5" priority="2313" operator="equal">
      <formula>"SC"</formula>
    </cfRule>
    <cfRule type="cellIs" dxfId="6" priority="2312" operator="equal">
      <formula>"ET"</formula>
    </cfRule>
  </conditionalFormatting>
  <conditionalFormatting sqref="D112">
    <cfRule type="cellIs" dxfId="0" priority="1683" operator="equal">
      <formula>"DSR"</formula>
    </cfRule>
    <cfRule type="cellIs" dxfId="1" priority="1674" operator="equal">
      <formula>"P"</formula>
    </cfRule>
    <cfRule type="cellIs" dxfId="2" priority="1665" operator="equal">
      <formula>"FJ"</formula>
    </cfRule>
    <cfRule type="cellIs" dxfId="3" priority="1656" operator="equal">
      <formula>"FI"</formula>
    </cfRule>
    <cfRule type="cellIs" dxfId="4" priority="1647" operator="equal">
      <formula>"FE"</formula>
    </cfRule>
    <cfRule type="cellIs" dxfId="5" priority="1638" operator="equal">
      <formula>"SC"</formula>
    </cfRule>
    <cfRule type="cellIs" dxfId="6" priority="1629" operator="equal">
      <formula>"ET"</formula>
    </cfRule>
  </conditionalFormatting>
  <conditionalFormatting sqref="E112">
    <cfRule type="cellIs" dxfId="0" priority="1746" operator="equal">
      <formula>"DSR"</formula>
    </cfRule>
    <cfRule type="cellIs" dxfId="1" priority="1737" operator="equal">
      <formula>"P"</formula>
    </cfRule>
    <cfRule type="cellIs" dxfId="2" priority="1728" operator="equal">
      <formula>"FJ"</formula>
    </cfRule>
    <cfRule type="cellIs" dxfId="3" priority="1719" operator="equal">
      <formula>"FI"</formula>
    </cfRule>
    <cfRule type="cellIs" dxfId="4" priority="1710" operator="equal">
      <formula>"FE"</formula>
    </cfRule>
    <cfRule type="cellIs" dxfId="5" priority="1701" operator="equal">
      <formula>"SC"</formula>
    </cfRule>
    <cfRule type="cellIs" dxfId="6" priority="1692" operator="equal">
      <formula>"ET"</formula>
    </cfRule>
  </conditionalFormatting>
  <conditionalFormatting sqref="F112:G112">
    <cfRule type="cellIs" dxfId="0" priority="1809" operator="equal">
      <formula>"DSR"</formula>
    </cfRule>
    <cfRule type="cellIs" dxfId="1" priority="1800" operator="equal">
      <formula>"P"</formula>
    </cfRule>
    <cfRule type="cellIs" dxfId="2" priority="1791" operator="equal">
      <formula>"FJ"</formula>
    </cfRule>
    <cfRule type="cellIs" dxfId="3" priority="1782" operator="equal">
      <formula>"FI"</formula>
    </cfRule>
    <cfRule type="cellIs" dxfId="4" priority="1773" operator="equal">
      <formula>"FE"</formula>
    </cfRule>
    <cfRule type="cellIs" dxfId="5" priority="1764" operator="equal">
      <formula>"SC"</formula>
    </cfRule>
    <cfRule type="cellIs" dxfId="6" priority="1755" operator="equal">
      <formula>"ET"</formula>
    </cfRule>
  </conditionalFormatting>
  <conditionalFormatting sqref="I112:J112">
    <cfRule type="cellIs" dxfId="0" priority="2652" operator="equal">
      <formula>"DSR"</formula>
    </cfRule>
    <cfRule type="cellIs" dxfId="1" priority="2649" operator="equal">
      <formula>"P"</formula>
    </cfRule>
    <cfRule type="cellIs" dxfId="2" priority="2646" operator="equal">
      <formula>"FJ"</formula>
    </cfRule>
    <cfRule type="cellIs" dxfId="3" priority="2643" operator="equal">
      <formula>"FI"</formula>
    </cfRule>
    <cfRule type="cellIs" dxfId="4" priority="2640" operator="equal">
      <formula>"FE"</formula>
    </cfRule>
    <cfRule type="cellIs" dxfId="5" priority="2637" operator="equal">
      <formula>"SC"</formula>
    </cfRule>
    <cfRule type="cellIs" dxfId="6" priority="2634" operator="equal">
      <formula>"ET"</formula>
    </cfRule>
  </conditionalFormatting>
  <conditionalFormatting sqref="P112">
    <cfRule type="cellIs" dxfId="0" priority="2618" operator="equal">
      <formula>"DSR"</formula>
    </cfRule>
    <cfRule type="cellIs" dxfId="1" priority="2616" operator="equal">
      <formula>"P"</formula>
    </cfRule>
    <cfRule type="cellIs" dxfId="2" priority="2614" operator="equal">
      <formula>"FJ"</formula>
    </cfRule>
    <cfRule type="cellIs" dxfId="3" priority="2612" operator="equal">
      <formula>"FI"</formula>
    </cfRule>
    <cfRule type="cellIs" dxfId="4" priority="2610" operator="equal">
      <formula>"FE"</formula>
    </cfRule>
    <cfRule type="cellIs" dxfId="5" priority="2608" operator="equal">
      <formula>"SC"</formula>
    </cfRule>
    <cfRule type="cellIs" dxfId="6" priority="2606" operator="equal">
      <formula>"ET"</formula>
    </cfRule>
  </conditionalFormatting>
  <conditionalFormatting sqref="D113">
    <cfRule type="cellIs" dxfId="0" priority="1682" operator="equal">
      <formula>"DSR"</formula>
    </cfRule>
    <cfRule type="cellIs" dxfId="1" priority="1673" operator="equal">
      <formula>"P"</formula>
    </cfRule>
    <cfRule type="cellIs" dxfId="2" priority="1664" operator="equal">
      <formula>"FJ"</formula>
    </cfRule>
    <cfRule type="cellIs" dxfId="3" priority="1655" operator="equal">
      <formula>"FI"</formula>
    </cfRule>
    <cfRule type="cellIs" dxfId="4" priority="1646" operator="equal">
      <formula>"FE"</formula>
    </cfRule>
    <cfRule type="cellIs" dxfId="5" priority="1637" operator="equal">
      <formula>"SC"</formula>
    </cfRule>
    <cfRule type="cellIs" dxfId="6" priority="1628" operator="equal">
      <formula>"ET"</formula>
    </cfRule>
  </conditionalFormatting>
  <conditionalFormatting sqref="E113">
    <cfRule type="cellIs" dxfId="0" priority="1745" operator="equal">
      <formula>"DSR"</formula>
    </cfRule>
    <cfRule type="cellIs" dxfId="1" priority="1736" operator="equal">
      <formula>"P"</formula>
    </cfRule>
    <cfRule type="cellIs" dxfId="2" priority="1727" operator="equal">
      <formula>"FJ"</formula>
    </cfRule>
    <cfRule type="cellIs" dxfId="3" priority="1718" operator="equal">
      <formula>"FI"</formula>
    </cfRule>
    <cfRule type="cellIs" dxfId="4" priority="1709" operator="equal">
      <formula>"FE"</formula>
    </cfRule>
    <cfRule type="cellIs" dxfId="5" priority="1700" operator="equal">
      <formula>"SC"</formula>
    </cfRule>
    <cfRule type="cellIs" dxfId="6" priority="1691" operator="equal">
      <formula>"ET"</formula>
    </cfRule>
  </conditionalFormatting>
  <conditionalFormatting sqref="F113:G113">
    <cfRule type="cellIs" dxfId="0" priority="1808" operator="equal">
      <formula>"DSR"</formula>
    </cfRule>
    <cfRule type="cellIs" dxfId="1" priority="1799" operator="equal">
      <formula>"P"</formula>
    </cfRule>
    <cfRule type="cellIs" dxfId="2" priority="1790" operator="equal">
      <formula>"FJ"</formula>
    </cfRule>
    <cfRule type="cellIs" dxfId="3" priority="1781" operator="equal">
      <formula>"FI"</formula>
    </cfRule>
    <cfRule type="cellIs" dxfId="4" priority="1772" operator="equal">
      <formula>"FE"</formula>
    </cfRule>
    <cfRule type="cellIs" dxfId="5" priority="1763" operator="equal">
      <formula>"SC"</formula>
    </cfRule>
    <cfRule type="cellIs" dxfId="6" priority="1754" operator="equal">
      <formula>"ET"</formula>
    </cfRule>
  </conditionalFormatting>
  <conditionalFormatting sqref="P113">
    <cfRule type="cellIs" dxfId="0" priority="2304" operator="equal">
      <formula>"DSR"</formula>
    </cfRule>
    <cfRule type="cellIs" dxfId="1" priority="2303" operator="equal">
      <formula>"P"</formula>
    </cfRule>
    <cfRule type="cellIs" dxfId="2" priority="2302" operator="equal">
      <formula>"FJ"</formula>
    </cfRule>
    <cfRule type="cellIs" dxfId="3" priority="2301" operator="equal">
      <formula>"FI"</formula>
    </cfRule>
    <cfRule type="cellIs" dxfId="4" priority="2300" operator="equal">
      <formula>"FE"</formula>
    </cfRule>
    <cfRule type="cellIs" dxfId="5" priority="2299" operator="equal">
      <formula>"SC"</formula>
    </cfRule>
    <cfRule type="cellIs" dxfId="6" priority="2298" operator="equal">
      <formula>"ET"</formula>
    </cfRule>
  </conditionalFormatting>
  <conditionalFormatting sqref="D114">
    <cfRule type="cellIs" dxfId="0" priority="35" operator="equal">
      <formula>"DSR"</formula>
    </cfRule>
    <cfRule type="cellIs" dxfId="1" priority="34" operator="equal">
      <formula>"P"</formula>
    </cfRule>
    <cfRule type="cellIs" dxfId="2" priority="33" operator="equal">
      <formula>"FJ"</formula>
    </cfRule>
    <cfRule type="cellIs" dxfId="3" priority="32" operator="equal">
      <formula>"FI"</formula>
    </cfRule>
    <cfRule type="cellIs" dxfId="4" priority="31" operator="equal">
      <formula>"FE"</formula>
    </cfRule>
    <cfRule type="cellIs" dxfId="5" priority="30" operator="equal">
      <formula>"SC"</formula>
    </cfRule>
    <cfRule type="cellIs" dxfId="6" priority="29" operator="equal">
      <formula>"ET"</formula>
    </cfRule>
  </conditionalFormatting>
  <conditionalFormatting sqref="E114">
    <cfRule type="cellIs" dxfId="0" priority="28" operator="equal">
      <formula>"DSR"</formula>
    </cfRule>
    <cfRule type="cellIs" dxfId="1" priority="27" operator="equal">
      <formula>"P"</formula>
    </cfRule>
    <cfRule type="cellIs" dxfId="2" priority="26" operator="equal">
      <formula>"FJ"</formula>
    </cfRule>
    <cfRule type="cellIs" dxfId="3" priority="25" operator="equal">
      <formula>"FI"</formula>
    </cfRule>
    <cfRule type="cellIs" dxfId="4" priority="24" operator="equal">
      <formula>"FE"</formula>
    </cfRule>
    <cfRule type="cellIs" dxfId="5" priority="23" operator="equal">
      <formula>"SC"</formula>
    </cfRule>
    <cfRule type="cellIs" dxfId="6" priority="22" operator="equal">
      <formula>"ET"</formula>
    </cfRule>
  </conditionalFormatting>
  <conditionalFormatting sqref="F114">
    <cfRule type="cellIs" dxfId="0" priority="21" operator="equal">
      <formula>"DSR"</formula>
    </cfRule>
    <cfRule type="cellIs" dxfId="1" priority="20" operator="equal">
      <formula>"P"</formula>
    </cfRule>
    <cfRule type="cellIs" dxfId="2" priority="19" operator="equal">
      <formula>"FJ"</formula>
    </cfRule>
    <cfRule type="cellIs" dxfId="3" priority="18" operator="equal">
      <formula>"FI"</formula>
    </cfRule>
    <cfRule type="cellIs" dxfId="4" priority="17" operator="equal">
      <formula>"FE"</formula>
    </cfRule>
    <cfRule type="cellIs" dxfId="5" priority="16" operator="equal">
      <formula>"SC"</formula>
    </cfRule>
    <cfRule type="cellIs" dxfId="6" priority="15" operator="equal">
      <formula>"ET"</formula>
    </cfRule>
  </conditionalFormatting>
  <conditionalFormatting sqref="G114">
    <cfRule type="cellIs" dxfId="0" priority="14" operator="equal">
      <formula>"DSR"</formula>
    </cfRule>
    <cfRule type="cellIs" dxfId="1" priority="13" operator="equal">
      <formula>"P"</formula>
    </cfRule>
    <cfRule type="cellIs" dxfId="2" priority="12" operator="equal">
      <formula>"FJ"</formula>
    </cfRule>
    <cfRule type="cellIs" dxfId="3" priority="11" operator="equal">
      <formula>"FI"</formula>
    </cfRule>
    <cfRule type="cellIs" dxfId="4" priority="10" operator="equal">
      <formula>"FE"</formula>
    </cfRule>
    <cfRule type="cellIs" dxfId="5" priority="9" operator="equal">
      <formula>"SC"</formula>
    </cfRule>
    <cfRule type="cellIs" dxfId="6" priority="8" operator="equal">
      <formula>"ET"</formula>
    </cfRule>
  </conditionalFormatting>
  <conditionalFormatting sqref="H114">
    <cfRule type="cellIs" dxfId="0" priority="7" operator="equal">
      <formula>"DSR"</formula>
    </cfRule>
    <cfRule type="cellIs" dxfId="1" priority="6" operator="equal">
      <formula>"P"</formula>
    </cfRule>
    <cfRule type="cellIs" dxfId="2" priority="5" operator="equal">
      <formula>"FJ"</formula>
    </cfRule>
    <cfRule type="cellIs" dxfId="3" priority="4" operator="equal">
      <formula>"FI"</formula>
    </cfRule>
    <cfRule type="cellIs" dxfId="4" priority="3" operator="equal">
      <formula>"FE"</formula>
    </cfRule>
    <cfRule type="cellIs" dxfId="5" priority="2" operator="equal">
      <formula>"SC"</formula>
    </cfRule>
    <cfRule type="cellIs" dxfId="6" priority="1" operator="equal">
      <formula>"ET"</formula>
    </cfRule>
  </conditionalFormatting>
  <conditionalFormatting sqref="P114">
    <cfRule type="cellIs" dxfId="0" priority="1947" operator="equal">
      <formula>"DSR"</formula>
    </cfRule>
    <cfRule type="cellIs" dxfId="1" priority="1946" operator="equal">
      <formula>"P"</formula>
    </cfRule>
    <cfRule type="cellIs" dxfId="2" priority="1945" operator="equal">
      <formula>"FJ"</formula>
    </cfRule>
    <cfRule type="cellIs" dxfId="3" priority="1944" operator="equal">
      <formula>"FI"</formula>
    </cfRule>
    <cfRule type="cellIs" dxfId="4" priority="1943" operator="equal">
      <formula>"FE"</formula>
    </cfRule>
    <cfRule type="cellIs" dxfId="5" priority="1942" operator="equal">
      <formula>"SC"</formula>
    </cfRule>
    <cfRule type="cellIs" dxfId="6" priority="1941" operator="equal">
      <formula>"ET"</formula>
    </cfRule>
  </conditionalFormatting>
  <conditionalFormatting sqref="V114">
    <cfRule type="cellIs" dxfId="0" priority="1940" operator="equal">
      <formula>"DSR"</formula>
    </cfRule>
    <cfRule type="cellIs" dxfId="1" priority="1939" operator="equal">
      <formula>"P"</formula>
    </cfRule>
    <cfRule type="cellIs" dxfId="2" priority="1938" operator="equal">
      <formula>"FJ"</formula>
    </cfRule>
    <cfRule type="cellIs" dxfId="3" priority="1937" operator="equal">
      <formula>"FI"</formula>
    </cfRule>
    <cfRule type="cellIs" dxfId="4" priority="1936" operator="equal">
      <formula>"FE"</formula>
    </cfRule>
    <cfRule type="cellIs" dxfId="5" priority="1935" operator="equal">
      <formula>"SC"</formula>
    </cfRule>
    <cfRule type="cellIs" dxfId="6" priority="1934" operator="equal">
      <formula>"ET"</formula>
    </cfRule>
  </conditionalFormatting>
  <conditionalFormatting sqref="D115">
    <cfRule type="cellIs" dxfId="0" priority="1681" operator="equal">
      <formula>"DSR"</formula>
    </cfRule>
    <cfRule type="cellIs" dxfId="1" priority="1672" operator="equal">
      <formula>"P"</formula>
    </cfRule>
    <cfRule type="cellIs" dxfId="2" priority="1663" operator="equal">
      <formula>"FJ"</formula>
    </cfRule>
    <cfRule type="cellIs" dxfId="3" priority="1654" operator="equal">
      <formula>"FI"</formula>
    </cfRule>
    <cfRule type="cellIs" dxfId="4" priority="1645" operator="equal">
      <formula>"FE"</formula>
    </cfRule>
    <cfRule type="cellIs" dxfId="5" priority="1636" operator="equal">
      <formula>"SC"</formula>
    </cfRule>
    <cfRule type="cellIs" dxfId="6" priority="1627" operator="equal">
      <formula>"ET"</formula>
    </cfRule>
  </conditionalFormatting>
  <conditionalFormatting sqref="E115">
    <cfRule type="cellIs" dxfId="0" priority="1744" operator="equal">
      <formula>"DSR"</formula>
    </cfRule>
    <cfRule type="cellIs" dxfId="1" priority="1735" operator="equal">
      <formula>"P"</formula>
    </cfRule>
    <cfRule type="cellIs" dxfId="2" priority="1726" operator="equal">
      <formula>"FJ"</formula>
    </cfRule>
    <cfRule type="cellIs" dxfId="3" priority="1717" operator="equal">
      <formula>"FI"</formula>
    </cfRule>
    <cfRule type="cellIs" dxfId="4" priority="1708" operator="equal">
      <formula>"FE"</formula>
    </cfRule>
    <cfRule type="cellIs" dxfId="5" priority="1699" operator="equal">
      <formula>"SC"</formula>
    </cfRule>
    <cfRule type="cellIs" dxfId="6" priority="1690" operator="equal">
      <formula>"ET"</formula>
    </cfRule>
  </conditionalFormatting>
  <conditionalFormatting sqref="F115:G115">
    <cfRule type="cellIs" dxfId="0" priority="1807" operator="equal">
      <formula>"DSR"</formula>
    </cfRule>
    <cfRule type="cellIs" dxfId="1" priority="1798" operator="equal">
      <formula>"P"</formula>
    </cfRule>
    <cfRule type="cellIs" dxfId="2" priority="1789" operator="equal">
      <formula>"FJ"</formula>
    </cfRule>
    <cfRule type="cellIs" dxfId="3" priority="1780" operator="equal">
      <formula>"FI"</formula>
    </cfRule>
    <cfRule type="cellIs" dxfId="4" priority="1771" operator="equal">
      <formula>"FE"</formula>
    </cfRule>
    <cfRule type="cellIs" dxfId="5" priority="1762" operator="equal">
      <formula>"SC"</formula>
    </cfRule>
    <cfRule type="cellIs" dxfId="6" priority="1753" operator="equal">
      <formula>"ET"</formula>
    </cfRule>
  </conditionalFormatting>
  <conditionalFormatting sqref="P115">
    <cfRule type="cellIs" dxfId="0" priority="2290" operator="equal">
      <formula>"DSR"</formula>
    </cfRule>
    <cfRule type="cellIs" dxfId="1" priority="2289" operator="equal">
      <formula>"P"</formula>
    </cfRule>
    <cfRule type="cellIs" dxfId="2" priority="2288" operator="equal">
      <formula>"FJ"</formula>
    </cfRule>
    <cfRule type="cellIs" dxfId="3" priority="2287" operator="equal">
      <formula>"FI"</formula>
    </cfRule>
    <cfRule type="cellIs" dxfId="4" priority="2286" operator="equal">
      <formula>"FE"</formula>
    </cfRule>
    <cfRule type="cellIs" dxfId="5" priority="2285" operator="equal">
      <formula>"SC"</formula>
    </cfRule>
    <cfRule type="cellIs" dxfId="6" priority="2284" operator="equal">
      <formula>"ET"</formula>
    </cfRule>
  </conditionalFormatting>
  <conditionalFormatting sqref="D116">
    <cfRule type="cellIs" dxfId="0" priority="1680" operator="equal">
      <formula>"DSR"</formula>
    </cfRule>
    <cfRule type="cellIs" dxfId="1" priority="1671" operator="equal">
      <formula>"P"</formula>
    </cfRule>
    <cfRule type="cellIs" dxfId="2" priority="1662" operator="equal">
      <formula>"FJ"</formula>
    </cfRule>
    <cfRule type="cellIs" dxfId="3" priority="1653" operator="equal">
      <formula>"FI"</formula>
    </cfRule>
    <cfRule type="cellIs" dxfId="4" priority="1644" operator="equal">
      <formula>"FE"</formula>
    </cfRule>
    <cfRule type="cellIs" dxfId="5" priority="1635" operator="equal">
      <formula>"SC"</formula>
    </cfRule>
    <cfRule type="cellIs" dxfId="6" priority="1626" operator="equal">
      <formula>"ET"</formula>
    </cfRule>
  </conditionalFormatting>
  <conditionalFormatting sqref="E116">
    <cfRule type="cellIs" dxfId="0" priority="1743" operator="equal">
      <formula>"DSR"</formula>
    </cfRule>
    <cfRule type="cellIs" dxfId="1" priority="1734" operator="equal">
      <formula>"P"</formula>
    </cfRule>
    <cfRule type="cellIs" dxfId="2" priority="1725" operator="equal">
      <formula>"FJ"</formula>
    </cfRule>
    <cfRule type="cellIs" dxfId="3" priority="1716" operator="equal">
      <formula>"FI"</formula>
    </cfRule>
    <cfRule type="cellIs" dxfId="4" priority="1707" operator="equal">
      <formula>"FE"</formula>
    </cfRule>
    <cfRule type="cellIs" dxfId="5" priority="1698" operator="equal">
      <formula>"SC"</formula>
    </cfRule>
    <cfRule type="cellIs" dxfId="6" priority="1689" operator="equal">
      <formula>"ET"</formula>
    </cfRule>
  </conditionalFormatting>
  <conditionalFormatting sqref="F116:G116">
    <cfRule type="cellIs" dxfId="0" priority="1806" operator="equal">
      <formula>"DSR"</formula>
    </cfRule>
    <cfRule type="cellIs" dxfId="1" priority="1797" operator="equal">
      <formula>"P"</formula>
    </cfRule>
    <cfRule type="cellIs" dxfId="2" priority="1788" operator="equal">
      <formula>"FJ"</formula>
    </cfRule>
    <cfRule type="cellIs" dxfId="3" priority="1779" operator="equal">
      <formula>"FI"</formula>
    </cfRule>
    <cfRule type="cellIs" dxfId="4" priority="1770" operator="equal">
      <formula>"FE"</formula>
    </cfRule>
    <cfRule type="cellIs" dxfId="5" priority="1761" operator="equal">
      <formula>"SC"</formula>
    </cfRule>
    <cfRule type="cellIs" dxfId="6" priority="1752" operator="equal">
      <formula>"ET"</formula>
    </cfRule>
  </conditionalFormatting>
  <conditionalFormatting sqref="P132">
    <cfRule type="cellIs" dxfId="0" priority="3613" operator="equal">
      <formula>"DSR"</formula>
    </cfRule>
    <cfRule type="cellIs" dxfId="1" priority="3612" operator="equal">
      <formula>"P"</formula>
    </cfRule>
    <cfRule type="cellIs" dxfId="2" priority="3611" operator="equal">
      <formula>"FJ"</formula>
    </cfRule>
    <cfRule type="cellIs" dxfId="3" priority="3610" operator="equal">
      <formula>"FI"</formula>
    </cfRule>
    <cfRule type="cellIs" dxfId="4" priority="3609" operator="equal">
      <formula>"FE"</formula>
    </cfRule>
    <cfRule type="cellIs" dxfId="5" priority="3608" operator="equal">
      <formula>"SC"</formula>
    </cfRule>
    <cfRule type="cellIs" dxfId="6" priority="3607" operator="equal">
      <formula>"ET"</formula>
    </cfRule>
  </conditionalFormatting>
  <conditionalFormatting sqref="AC132">
    <cfRule type="cellIs" dxfId="0" priority="154" operator="equal">
      <formula>"DSR"</formula>
    </cfRule>
    <cfRule type="cellIs" dxfId="1" priority="153" operator="equal">
      <formula>"P"</formula>
    </cfRule>
    <cfRule type="cellIs" dxfId="2" priority="152" operator="equal">
      <formula>"FJ"</formula>
    </cfRule>
    <cfRule type="cellIs" dxfId="3" priority="151" operator="equal">
      <formula>"FI"</formula>
    </cfRule>
    <cfRule type="cellIs" dxfId="4" priority="150" operator="equal">
      <formula>"FE"</formula>
    </cfRule>
    <cfRule type="cellIs" dxfId="5" priority="149" operator="equal">
      <formula>"SC"</formula>
    </cfRule>
    <cfRule type="cellIs" dxfId="6" priority="148" operator="equal">
      <formula>"ET"</formula>
    </cfRule>
  </conditionalFormatting>
  <conditionalFormatting sqref="D133:O133">
    <cfRule type="cellIs" dxfId="0" priority="3270" operator="equal">
      <formula>"DSR"</formula>
    </cfRule>
    <cfRule type="cellIs" dxfId="1" priority="3269" operator="equal">
      <formula>"P"</formula>
    </cfRule>
    <cfRule type="cellIs" dxfId="2" priority="3268" operator="equal">
      <formula>"FJ"</formula>
    </cfRule>
    <cfRule type="cellIs" dxfId="3" priority="3267" operator="equal">
      <formula>"FI"</formula>
    </cfRule>
    <cfRule type="cellIs" dxfId="4" priority="3266" operator="equal">
      <formula>"FE"</formula>
    </cfRule>
    <cfRule type="cellIs" dxfId="5" priority="3265" operator="equal">
      <formula>"SC"</formula>
    </cfRule>
    <cfRule type="cellIs" dxfId="6" priority="3264" operator="equal">
      <formula>"ET"</formula>
    </cfRule>
  </conditionalFormatting>
  <conditionalFormatting sqref="P133">
    <cfRule type="cellIs" dxfId="0" priority="3263" operator="equal">
      <formula>"DSR"</formula>
    </cfRule>
    <cfRule type="cellIs" dxfId="1" priority="3262" operator="equal">
      <formula>"P"</formula>
    </cfRule>
    <cfRule type="cellIs" dxfId="2" priority="3261" operator="equal">
      <formula>"FJ"</formula>
    </cfRule>
    <cfRule type="cellIs" dxfId="3" priority="3260" operator="equal">
      <formula>"FI"</formula>
    </cfRule>
    <cfRule type="cellIs" dxfId="4" priority="3259" operator="equal">
      <formula>"FE"</formula>
    </cfRule>
    <cfRule type="cellIs" dxfId="5" priority="3258" operator="equal">
      <formula>"SC"</formula>
    </cfRule>
    <cfRule type="cellIs" dxfId="6" priority="3257" operator="equal">
      <formula>"ET"</formula>
    </cfRule>
  </conditionalFormatting>
  <conditionalFormatting sqref="R133">
    <cfRule type="cellIs" dxfId="0" priority="3256" operator="equal">
      <formula>"DSR"</formula>
    </cfRule>
    <cfRule type="cellIs" dxfId="1" priority="3255" operator="equal">
      <formula>"P"</formula>
    </cfRule>
    <cfRule type="cellIs" dxfId="2" priority="3254" operator="equal">
      <formula>"FJ"</formula>
    </cfRule>
    <cfRule type="cellIs" dxfId="3" priority="3253" operator="equal">
      <formula>"FI"</formula>
    </cfRule>
    <cfRule type="cellIs" dxfId="4" priority="3252" operator="equal">
      <formula>"FE"</formula>
    </cfRule>
    <cfRule type="cellIs" dxfId="5" priority="3251" operator="equal">
      <formula>"SC"</formula>
    </cfRule>
    <cfRule type="cellIs" dxfId="6" priority="3250" operator="equal">
      <formula>"ET"</formula>
    </cfRule>
  </conditionalFormatting>
  <conditionalFormatting sqref="S133">
    <cfRule type="cellIs" dxfId="0" priority="3249" operator="equal">
      <formula>"DSR"</formula>
    </cfRule>
    <cfRule type="cellIs" dxfId="1" priority="3248" operator="equal">
      <formula>"P"</formula>
    </cfRule>
    <cfRule type="cellIs" dxfId="2" priority="3247" operator="equal">
      <formula>"FJ"</formula>
    </cfRule>
    <cfRule type="cellIs" dxfId="3" priority="3246" operator="equal">
      <formula>"FI"</formula>
    </cfRule>
    <cfRule type="cellIs" dxfId="4" priority="3245" operator="equal">
      <formula>"FE"</formula>
    </cfRule>
    <cfRule type="cellIs" dxfId="5" priority="3244" operator="equal">
      <formula>"SC"</formula>
    </cfRule>
    <cfRule type="cellIs" dxfId="6" priority="3243" operator="equal">
      <formula>"ET"</formula>
    </cfRule>
  </conditionalFormatting>
  <conditionalFormatting sqref="T133">
    <cfRule type="cellIs" dxfId="0" priority="3242" operator="equal">
      <formula>"DSR"</formula>
    </cfRule>
    <cfRule type="cellIs" dxfId="1" priority="3241" operator="equal">
      <formula>"P"</formula>
    </cfRule>
    <cfRule type="cellIs" dxfId="2" priority="3240" operator="equal">
      <formula>"FJ"</formula>
    </cfRule>
    <cfRule type="cellIs" dxfId="3" priority="3239" operator="equal">
      <formula>"FI"</formula>
    </cfRule>
    <cfRule type="cellIs" dxfId="4" priority="3238" operator="equal">
      <formula>"FE"</formula>
    </cfRule>
    <cfRule type="cellIs" dxfId="5" priority="3237" operator="equal">
      <formula>"SC"</formula>
    </cfRule>
    <cfRule type="cellIs" dxfId="6" priority="3236" operator="equal">
      <formula>"ET"</formula>
    </cfRule>
  </conditionalFormatting>
  <conditionalFormatting sqref="P134">
    <cfRule type="cellIs" dxfId="0" priority="3599" operator="equal">
      <formula>"DSR"</formula>
    </cfRule>
    <cfRule type="cellIs" dxfId="1" priority="3598" operator="equal">
      <formula>"P"</formula>
    </cfRule>
    <cfRule type="cellIs" dxfId="2" priority="3597" operator="equal">
      <formula>"FJ"</formula>
    </cfRule>
    <cfRule type="cellIs" dxfId="3" priority="3596" operator="equal">
      <formula>"FI"</formula>
    </cfRule>
    <cfRule type="cellIs" dxfId="4" priority="3595" operator="equal">
      <formula>"FE"</formula>
    </cfRule>
    <cfRule type="cellIs" dxfId="5" priority="3594" operator="equal">
      <formula>"SC"</formula>
    </cfRule>
    <cfRule type="cellIs" dxfId="6" priority="3593" operator="equal">
      <formula>"ET"</formula>
    </cfRule>
  </conditionalFormatting>
  <conditionalFormatting sqref="P135">
    <cfRule type="cellIs" dxfId="0" priority="3585" operator="equal">
      <formula>"DSR"</formula>
    </cfRule>
    <cfRule type="cellIs" dxfId="1" priority="3584" operator="equal">
      <formula>"P"</formula>
    </cfRule>
    <cfRule type="cellIs" dxfId="2" priority="3583" operator="equal">
      <formula>"FJ"</formula>
    </cfRule>
    <cfRule type="cellIs" dxfId="3" priority="3582" operator="equal">
      <formula>"FI"</formula>
    </cfRule>
    <cfRule type="cellIs" dxfId="4" priority="3581" operator="equal">
      <formula>"FE"</formula>
    </cfRule>
    <cfRule type="cellIs" dxfId="5" priority="3580" operator="equal">
      <formula>"SC"</formula>
    </cfRule>
    <cfRule type="cellIs" dxfId="6" priority="3579" operator="equal">
      <formula>"ET"</formula>
    </cfRule>
  </conditionalFormatting>
  <conditionalFormatting sqref="P136">
    <cfRule type="cellIs" dxfId="0" priority="3571" operator="equal">
      <formula>"DSR"</formula>
    </cfRule>
    <cfRule type="cellIs" dxfId="1" priority="3570" operator="equal">
      <formula>"P"</formula>
    </cfRule>
    <cfRule type="cellIs" dxfId="2" priority="3569" operator="equal">
      <formula>"FJ"</formula>
    </cfRule>
    <cfRule type="cellIs" dxfId="3" priority="3568" operator="equal">
      <formula>"FI"</formula>
    </cfRule>
    <cfRule type="cellIs" dxfId="4" priority="3567" operator="equal">
      <formula>"FE"</formula>
    </cfRule>
    <cfRule type="cellIs" dxfId="5" priority="3566" operator="equal">
      <formula>"SC"</formula>
    </cfRule>
    <cfRule type="cellIs" dxfId="6" priority="3565" operator="equal">
      <formula>"ET"</formula>
    </cfRule>
  </conditionalFormatting>
  <conditionalFormatting sqref="P140">
    <cfRule type="cellIs" dxfId="0" priority="3557" operator="equal">
      <formula>"DSR"</formula>
    </cfRule>
    <cfRule type="cellIs" dxfId="1" priority="3556" operator="equal">
      <formula>"P"</formula>
    </cfRule>
    <cfRule type="cellIs" dxfId="2" priority="3555" operator="equal">
      <formula>"FJ"</formula>
    </cfRule>
    <cfRule type="cellIs" dxfId="3" priority="3554" operator="equal">
      <formula>"FI"</formula>
    </cfRule>
    <cfRule type="cellIs" dxfId="4" priority="3553" operator="equal">
      <formula>"FE"</formula>
    </cfRule>
    <cfRule type="cellIs" dxfId="5" priority="3552" operator="equal">
      <formula>"SC"</formula>
    </cfRule>
    <cfRule type="cellIs" dxfId="6" priority="3551" operator="equal">
      <formula>"ET"</formula>
    </cfRule>
  </conditionalFormatting>
  <conditionalFormatting sqref="D141:Q141">
    <cfRule type="cellIs" dxfId="0" priority="3235" operator="equal">
      <formula>"DSR"</formula>
    </cfRule>
    <cfRule type="cellIs" dxfId="1" priority="3234" operator="equal">
      <formula>"P"</formula>
    </cfRule>
    <cfRule type="cellIs" dxfId="2" priority="3233" operator="equal">
      <formula>"FJ"</formula>
    </cfRule>
    <cfRule type="cellIs" dxfId="3" priority="3232" operator="equal">
      <formula>"FI"</formula>
    </cfRule>
    <cfRule type="cellIs" dxfId="4" priority="3231" operator="equal">
      <formula>"FE"</formula>
    </cfRule>
    <cfRule type="cellIs" dxfId="5" priority="3230" operator="equal">
      <formula>"SC"</formula>
    </cfRule>
    <cfRule type="cellIs" dxfId="6" priority="3229" operator="equal">
      <formula>"ET"</formula>
    </cfRule>
  </conditionalFormatting>
  <conditionalFormatting sqref="R141">
    <cfRule type="cellIs" dxfId="0" priority="3228" operator="equal">
      <formula>"DSR"</formula>
    </cfRule>
    <cfRule type="cellIs" dxfId="1" priority="3227" operator="equal">
      <formula>"P"</formula>
    </cfRule>
    <cfRule type="cellIs" dxfId="2" priority="3226" operator="equal">
      <formula>"FJ"</formula>
    </cfRule>
    <cfRule type="cellIs" dxfId="3" priority="3225" operator="equal">
      <formula>"FI"</formula>
    </cfRule>
    <cfRule type="cellIs" dxfId="4" priority="3224" operator="equal">
      <formula>"FE"</formula>
    </cfRule>
    <cfRule type="cellIs" dxfId="5" priority="3223" operator="equal">
      <formula>"SC"</formula>
    </cfRule>
    <cfRule type="cellIs" dxfId="6" priority="3222" operator="equal">
      <formula>"ET"</formula>
    </cfRule>
  </conditionalFormatting>
  <conditionalFormatting sqref="S141">
    <cfRule type="cellIs" dxfId="0" priority="3221" operator="equal">
      <formula>"DSR"</formula>
    </cfRule>
    <cfRule type="cellIs" dxfId="1" priority="3220" operator="equal">
      <formula>"P"</formula>
    </cfRule>
    <cfRule type="cellIs" dxfId="2" priority="3219" operator="equal">
      <formula>"FJ"</formula>
    </cfRule>
    <cfRule type="cellIs" dxfId="3" priority="3218" operator="equal">
      <formula>"FI"</formula>
    </cfRule>
    <cfRule type="cellIs" dxfId="4" priority="3217" operator="equal">
      <formula>"FE"</formula>
    </cfRule>
    <cfRule type="cellIs" dxfId="5" priority="3216" operator="equal">
      <formula>"SC"</formula>
    </cfRule>
    <cfRule type="cellIs" dxfId="6" priority="3215" operator="equal">
      <formula>"ET"</formula>
    </cfRule>
  </conditionalFormatting>
  <conditionalFormatting sqref="P142">
    <cfRule type="cellIs" dxfId="0" priority="3543" operator="equal">
      <formula>"DSR"</formula>
    </cfRule>
    <cfRule type="cellIs" dxfId="1" priority="3542" operator="equal">
      <formula>"P"</formula>
    </cfRule>
    <cfRule type="cellIs" dxfId="2" priority="3541" operator="equal">
      <formula>"FJ"</formula>
    </cfRule>
    <cfRule type="cellIs" dxfId="3" priority="3540" operator="equal">
      <formula>"FI"</formula>
    </cfRule>
    <cfRule type="cellIs" dxfId="4" priority="3539" operator="equal">
      <formula>"FE"</formula>
    </cfRule>
    <cfRule type="cellIs" dxfId="5" priority="3538" operator="equal">
      <formula>"SC"</formula>
    </cfRule>
    <cfRule type="cellIs" dxfId="6" priority="3537" operator="equal">
      <formula>"ET"</formula>
    </cfRule>
  </conditionalFormatting>
  <conditionalFormatting sqref="P144">
    <cfRule type="cellIs" dxfId="0" priority="3529" operator="equal">
      <formula>"DSR"</formula>
    </cfRule>
    <cfRule type="cellIs" dxfId="1" priority="3528" operator="equal">
      <formula>"P"</formula>
    </cfRule>
    <cfRule type="cellIs" dxfId="2" priority="3527" operator="equal">
      <formula>"FJ"</formula>
    </cfRule>
    <cfRule type="cellIs" dxfId="3" priority="3526" operator="equal">
      <formula>"FI"</formula>
    </cfRule>
    <cfRule type="cellIs" dxfId="4" priority="3525" operator="equal">
      <formula>"FE"</formula>
    </cfRule>
    <cfRule type="cellIs" dxfId="5" priority="3524" operator="equal">
      <formula>"SC"</formula>
    </cfRule>
    <cfRule type="cellIs" dxfId="6" priority="3523" operator="equal">
      <formula>"ET"</formula>
    </cfRule>
  </conditionalFormatting>
  <conditionalFormatting sqref="AC144">
    <cfRule type="cellIs" dxfId="0" priority="140" operator="equal">
      <formula>"DSR"</formula>
    </cfRule>
    <cfRule type="cellIs" dxfId="1" priority="139" operator="equal">
      <formula>"P"</formula>
    </cfRule>
    <cfRule type="cellIs" dxfId="2" priority="138" operator="equal">
      <formula>"FJ"</formula>
    </cfRule>
    <cfRule type="cellIs" dxfId="3" priority="137" operator="equal">
      <formula>"FI"</formula>
    </cfRule>
    <cfRule type="cellIs" dxfId="4" priority="136" operator="equal">
      <formula>"FE"</formula>
    </cfRule>
    <cfRule type="cellIs" dxfId="5" priority="135" operator="equal">
      <formula>"SC"</formula>
    </cfRule>
    <cfRule type="cellIs" dxfId="6" priority="134" operator="equal">
      <formula>"ET"</formula>
    </cfRule>
  </conditionalFormatting>
  <conditionalFormatting sqref="P146">
    <cfRule type="cellIs" dxfId="0" priority="3515" operator="equal">
      <formula>"DSR"</formula>
    </cfRule>
    <cfRule type="cellIs" dxfId="1" priority="3514" operator="equal">
      <formula>"P"</formula>
    </cfRule>
    <cfRule type="cellIs" dxfId="2" priority="3513" operator="equal">
      <formula>"FJ"</formula>
    </cfRule>
    <cfRule type="cellIs" dxfId="3" priority="3512" operator="equal">
      <formula>"FI"</formula>
    </cfRule>
    <cfRule type="cellIs" dxfId="4" priority="3511" operator="equal">
      <formula>"FE"</formula>
    </cfRule>
    <cfRule type="cellIs" dxfId="5" priority="3510" operator="equal">
      <formula>"SC"</formula>
    </cfRule>
    <cfRule type="cellIs" dxfId="6" priority="3509" operator="equal">
      <formula>"ET"</formula>
    </cfRule>
  </conditionalFormatting>
  <conditionalFormatting sqref="AC146">
    <cfRule type="cellIs" dxfId="0" priority="133" operator="equal">
      <formula>"DSR"</formula>
    </cfRule>
    <cfRule type="cellIs" dxfId="1" priority="132" operator="equal">
      <formula>"P"</formula>
    </cfRule>
    <cfRule type="cellIs" dxfId="2" priority="131" operator="equal">
      <formula>"FJ"</formula>
    </cfRule>
    <cfRule type="cellIs" dxfId="3" priority="130" operator="equal">
      <formula>"FI"</formula>
    </cfRule>
    <cfRule type="cellIs" dxfId="4" priority="129" operator="equal">
      <formula>"FE"</formula>
    </cfRule>
    <cfRule type="cellIs" dxfId="5" priority="128" operator="equal">
      <formula>"SC"</formula>
    </cfRule>
    <cfRule type="cellIs" dxfId="6" priority="127" operator="equal">
      <formula>"ET"</formula>
    </cfRule>
  </conditionalFormatting>
  <conditionalFormatting sqref="W148:AA148">
    <cfRule type="cellIs" dxfId="0" priority="3781" operator="equal">
      <formula>"DSR"</formula>
    </cfRule>
    <cfRule type="cellIs" dxfId="1" priority="3780" operator="equal">
      <formula>"P"</formula>
    </cfRule>
    <cfRule type="cellIs" dxfId="2" priority="3779" operator="equal">
      <formula>"FJ"</formula>
    </cfRule>
    <cfRule type="cellIs" dxfId="3" priority="3778" operator="equal">
      <formula>"FI"</formula>
    </cfRule>
    <cfRule type="cellIs" dxfId="4" priority="3777" operator="equal">
      <formula>"FE"</formula>
    </cfRule>
    <cfRule type="cellIs" dxfId="5" priority="3776" operator="equal">
      <formula>"SC"</formula>
    </cfRule>
    <cfRule type="cellIs" dxfId="6" priority="3775" operator="equal">
      <formula>"ET"</formula>
    </cfRule>
  </conditionalFormatting>
  <conditionalFormatting sqref="AD148:AH148">
    <cfRule type="cellIs" dxfId="0" priority="3774" operator="equal">
      <formula>"DSR"</formula>
    </cfRule>
    <cfRule type="cellIs" dxfId="1" priority="3773" operator="equal">
      <formula>"P"</formula>
    </cfRule>
    <cfRule type="cellIs" dxfId="2" priority="3772" operator="equal">
      <formula>"FJ"</formula>
    </cfRule>
    <cfRule type="cellIs" dxfId="3" priority="3771" operator="equal">
      <formula>"FI"</formula>
    </cfRule>
    <cfRule type="cellIs" dxfId="4" priority="3770" operator="equal">
      <formula>"FE"</formula>
    </cfRule>
    <cfRule type="cellIs" dxfId="5" priority="3769" operator="equal">
      <formula>"SC"</formula>
    </cfRule>
    <cfRule type="cellIs" dxfId="6" priority="3768" operator="equal">
      <formula>"ET"</formula>
    </cfRule>
  </conditionalFormatting>
  <conditionalFormatting sqref="AI148">
    <cfRule type="cellIs" dxfId="0" priority="3795" operator="equal">
      <formula>"DSR"</formula>
    </cfRule>
    <cfRule type="cellIs" dxfId="1" priority="3794" operator="equal">
      <formula>"P"</formula>
    </cfRule>
    <cfRule type="cellIs" dxfId="2" priority="3793" operator="equal">
      <formula>"FJ"</formula>
    </cfRule>
    <cfRule type="cellIs" dxfId="3" priority="3792" operator="equal">
      <formula>"FI"</formula>
    </cfRule>
    <cfRule type="cellIs" dxfId="4" priority="3791" operator="equal">
      <formula>"FE"</formula>
    </cfRule>
    <cfRule type="cellIs" dxfId="5" priority="3790" operator="equal">
      <formula>"SC"</formula>
    </cfRule>
    <cfRule type="cellIs" dxfId="6" priority="3789" operator="equal">
      <formula>"ET"</formula>
    </cfRule>
  </conditionalFormatting>
  <conditionalFormatting sqref="P150">
    <cfRule type="cellIs" dxfId="0" priority="3501" operator="equal">
      <formula>"DSR"</formula>
    </cfRule>
    <cfRule type="cellIs" dxfId="1" priority="3500" operator="equal">
      <formula>"P"</formula>
    </cfRule>
    <cfRule type="cellIs" dxfId="2" priority="3499" operator="equal">
      <formula>"FJ"</formula>
    </cfRule>
    <cfRule type="cellIs" dxfId="3" priority="3498" operator="equal">
      <formula>"FI"</formula>
    </cfRule>
    <cfRule type="cellIs" dxfId="4" priority="3497" operator="equal">
      <formula>"FE"</formula>
    </cfRule>
    <cfRule type="cellIs" dxfId="5" priority="3496" operator="equal">
      <formula>"SC"</formula>
    </cfRule>
    <cfRule type="cellIs" dxfId="6" priority="3495" operator="equal">
      <formula>"ET"</formula>
    </cfRule>
  </conditionalFormatting>
  <conditionalFormatting sqref="P151">
    <cfRule type="cellIs" dxfId="0" priority="3487" operator="equal">
      <formula>"DSR"</formula>
    </cfRule>
    <cfRule type="cellIs" dxfId="1" priority="3486" operator="equal">
      <formula>"P"</formula>
    </cfRule>
    <cfRule type="cellIs" dxfId="2" priority="3485" operator="equal">
      <formula>"FJ"</formula>
    </cfRule>
    <cfRule type="cellIs" dxfId="3" priority="3484" operator="equal">
      <formula>"FI"</formula>
    </cfRule>
    <cfRule type="cellIs" dxfId="4" priority="3483" operator="equal">
      <formula>"FE"</formula>
    </cfRule>
    <cfRule type="cellIs" dxfId="5" priority="3482" operator="equal">
      <formula>"SC"</formula>
    </cfRule>
    <cfRule type="cellIs" dxfId="6" priority="3481" operator="equal">
      <formula>"ET"</formula>
    </cfRule>
  </conditionalFormatting>
  <conditionalFormatting sqref="AC153">
    <cfRule type="cellIs" dxfId="0" priority="119" operator="equal">
      <formula>"DSR"</formula>
    </cfRule>
    <cfRule type="cellIs" dxfId="1" priority="118" operator="equal">
      <formula>"P"</formula>
    </cfRule>
    <cfRule type="cellIs" dxfId="2" priority="117" operator="equal">
      <formula>"FJ"</formula>
    </cfRule>
    <cfRule type="cellIs" dxfId="3" priority="116" operator="equal">
      <formula>"FI"</formula>
    </cfRule>
    <cfRule type="cellIs" dxfId="4" priority="115" operator="equal">
      <formula>"FE"</formula>
    </cfRule>
    <cfRule type="cellIs" dxfId="5" priority="114" operator="equal">
      <formula>"SC"</formula>
    </cfRule>
    <cfRule type="cellIs" dxfId="6" priority="113" operator="equal">
      <formula>"ET"</formula>
    </cfRule>
  </conditionalFormatting>
  <conditionalFormatting sqref="AA155">
    <cfRule type="cellIs" dxfId="0" priority="77" operator="equal">
      <formula>"DSR"</formula>
    </cfRule>
    <cfRule type="cellIs" dxfId="1" priority="76" operator="equal">
      <formula>"P"</formula>
    </cfRule>
    <cfRule type="cellIs" dxfId="2" priority="75" operator="equal">
      <formula>"FJ"</formula>
    </cfRule>
    <cfRule type="cellIs" dxfId="3" priority="74" operator="equal">
      <formula>"FI"</formula>
    </cfRule>
    <cfRule type="cellIs" dxfId="4" priority="73" operator="equal">
      <formula>"FE"</formula>
    </cfRule>
    <cfRule type="cellIs" dxfId="5" priority="72" operator="equal">
      <formula>"SC"</formula>
    </cfRule>
    <cfRule type="cellIs" dxfId="6" priority="71" operator="equal">
      <formula>"ET"</formula>
    </cfRule>
  </conditionalFormatting>
  <conditionalFormatting sqref="AB155">
    <cfRule type="cellIs" dxfId="0" priority="63" operator="equal">
      <formula>"DSR"</formula>
    </cfRule>
    <cfRule type="cellIs" dxfId="1" priority="62" operator="equal">
      <formula>"P"</formula>
    </cfRule>
    <cfRule type="cellIs" dxfId="2" priority="61" operator="equal">
      <formula>"FJ"</formula>
    </cfRule>
    <cfRule type="cellIs" dxfId="3" priority="60" operator="equal">
      <formula>"FI"</formula>
    </cfRule>
    <cfRule type="cellIs" dxfId="4" priority="59" operator="equal">
      <formula>"FE"</formula>
    </cfRule>
    <cfRule type="cellIs" dxfId="5" priority="58" operator="equal">
      <formula>"SC"</formula>
    </cfRule>
    <cfRule type="cellIs" dxfId="6" priority="57" operator="equal">
      <formula>"ET"</formula>
    </cfRule>
  </conditionalFormatting>
  <conditionalFormatting sqref="AC155">
    <cfRule type="cellIs" dxfId="0" priority="70" operator="equal">
      <formula>"DSR"</formula>
    </cfRule>
    <cfRule type="cellIs" dxfId="1" priority="69" operator="equal">
      <formula>"P"</formula>
    </cfRule>
    <cfRule type="cellIs" dxfId="2" priority="68" operator="equal">
      <formula>"FJ"</formula>
    </cfRule>
    <cfRule type="cellIs" dxfId="3" priority="67" operator="equal">
      <formula>"FI"</formula>
    </cfRule>
    <cfRule type="cellIs" dxfId="4" priority="66" operator="equal">
      <formula>"FE"</formula>
    </cfRule>
    <cfRule type="cellIs" dxfId="5" priority="65" operator="equal">
      <formula>"SC"</formula>
    </cfRule>
    <cfRule type="cellIs" dxfId="6" priority="64" operator="equal">
      <formula>"ET"</formula>
    </cfRule>
  </conditionalFormatting>
  <conditionalFormatting sqref="P156">
    <cfRule type="cellIs" dxfId="0" priority="3473" operator="equal">
      <formula>"DSR"</formula>
    </cfRule>
    <cfRule type="cellIs" dxfId="1" priority="3472" operator="equal">
      <formula>"P"</formula>
    </cfRule>
    <cfRule type="cellIs" dxfId="2" priority="3471" operator="equal">
      <formula>"FJ"</formula>
    </cfRule>
    <cfRule type="cellIs" dxfId="3" priority="3470" operator="equal">
      <formula>"FI"</formula>
    </cfRule>
    <cfRule type="cellIs" dxfId="4" priority="3469" operator="equal">
      <formula>"FE"</formula>
    </cfRule>
    <cfRule type="cellIs" dxfId="5" priority="3468" operator="equal">
      <formula>"SC"</formula>
    </cfRule>
    <cfRule type="cellIs" dxfId="6" priority="3467" operator="equal">
      <formula>"ET"</formula>
    </cfRule>
  </conditionalFormatting>
  <conditionalFormatting sqref="P157">
    <cfRule type="cellIs" dxfId="0" priority="3459" operator="equal">
      <formula>"DSR"</formula>
    </cfRule>
    <cfRule type="cellIs" dxfId="1" priority="3458" operator="equal">
      <formula>"P"</formula>
    </cfRule>
    <cfRule type="cellIs" dxfId="2" priority="3457" operator="equal">
      <formula>"FJ"</formula>
    </cfRule>
    <cfRule type="cellIs" dxfId="3" priority="3456" operator="equal">
      <formula>"FI"</formula>
    </cfRule>
    <cfRule type="cellIs" dxfId="4" priority="3455" operator="equal">
      <formula>"FE"</formula>
    </cfRule>
    <cfRule type="cellIs" dxfId="5" priority="3454" operator="equal">
      <formula>"SC"</formula>
    </cfRule>
    <cfRule type="cellIs" dxfId="6" priority="3453" operator="equal">
      <formula>"ET"</formula>
    </cfRule>
  </conditionalFormatting>
  <conditionalFormatting sqref="P158">
    <cfRule type="cellIs" dxfId="0" priority="3445" operator="equal">
      <formula>"DSR"</formula>
    </cfRule>
    <cfRule type="cellIs" dxfId="1" priority="3444" operator="equal">
      <formula>"P"</formula>
    </cfRule>
    <cfRule type="cellIs" dxfId="2" priority="3443" operator="equal">
      <formula>"FJ"</formula>
    </cfRule>
    <cfRule type="cellIs" dxfId="3" priority="3442" operator="equal">
      <formula>"FI"</formula>
    </cfRule>
    <cfRule type="cellIs" dxfId="4" priority="3441" operator="equal">
      <formula>"FE"</formula>
    </cfRule>
    <cfRule type="cellIs" dxfId="5" priority="3440" operator="equal">
      <formula>"SC"</formula>
    </cfRule>
    <cfRule type="cellIs" dxfId="6" priority="3439" operator="equal">
      <formula>"ET"</formula>
    </cfRule>
  </conditionalFormatting>
  <conditionalFormatting sqref="P159">
    <cfRule type="cellIs" dxfId="0" priority="3431" operator="equal">
      <formula>"DSR"</formula>
    </cfRule>
    <cfRule type="cellIs" dxfId="1" priority="3430" operator="equal">
      <formula>"P"</formula>
    </cfRule>
    <cfRule type="cellIs" dxfId="2" priority="3429" operator="equal">
      <formula>"FJ"</formula>
    </cfRule>
    <cfRule type="cellIs" dxfId="3" priority="3428" operator="equal">
      <formula>"FI"</formula>
    </cfRule>
    <cfRule type="cellIs" dxfId="4" priority="3427" operator="equal">
      <formula>"FE"</formula>
    </cfRule>
    <cfRule type="cellIs" dxfId="5" priority="3426" operator="equal">
      <formula>"SC"</formula>
    </cfRule>
    <cfRule type="cellIs" dxfId="6" priority="3425" operator="equal">
      <formula>"ET"</formula>
    </cfRule>
  </conditionalFormatting>
  <conditionalFormatting sqref="AC160">
    <cfRule type="cellIs" dxfId="0" priority="105" operator="equal">
      <formula>"DSR"</formula>
    </cfRule>
    <cfRule type="cellIs" dxfId="1" priority="104" operator="equal">
      <formula>"P"</formula>
    </cfRule>
    <cfRule type="cellIs" dxfId="2" priority="103" operator="equal">
      <formula>"FJ"</formula>
    </cfRule>
    <cfRule type="cellIs" dxfId="3" priority="102" operator="equal">
      <formula>"FI"</formula>
    </cfRule>
    <cfRule type="cellIs" dxfId="4" priority="101" operator="equal">
      <formula>"FE"</formula>
    </cfRule>
    <cfRule type="cellIs" dxfId="5" priority="100" operator="equal">
      <formula>"SC"</formula>
    </cfRule>
    <cfRule type="cellIs" dxfId="6" priority="99" operator="equal">
      <formula>"ET"</formula>
    </cfRule>
  </conditionalFormatting>
  <conditionalFormatting sqref="P162">
    <cfRule type="cellIs" dxfId="0" priority="3417" operator="equal">
      <formula>"DSR"</formula>
    </cfRule>
    <cfRule type="cellIs" dxfId="1" priority="3416" operator="equal">
      <formula>"P"</formula>
    </cfRule>
    <cfRule type="cellIs" dxfId="2" priority="3415" operator="equal">
      <formula>"FJ"</formula>
    </cfRule>
    <cfRule type="cellIs" dxfId="3" priority="3414" operator="equal">
      <formula>"FI"</formula>
    </cfRule>
    <cfRule type="cellIs" dxfId="4" priority="3413" operator="equal">
      <formula>"FE"</formula>
    </cfRule>
    <cfRule type="cellIs" dxfId="5" priority="3412" operator="equal">
      <formula>"SC"</formula>
    </cfRule>
    <cfRule type="cellIs" dxfId="6" priority="3411" operator="equal">
      <formula>"ET"</formula>
    </cfRule>
  </conditionalFormatting>
  <conditionalFormatting sqref="P163">
    <cfRule type="cellIs" dxfId="0" priority="3403" operator="equal">
      <formula>"DSR"</formula>
    </cfRule>
    <cfRule type="cellIs" dxfId="1" priority="3402" operator="equal">
      <formula>"P"</formula>
    </cfRule>
    <cfRule type="cellIs" dxfId="2" priority="3401" operator="equal">
      <formula>"FJ"</formula>
    </cfRule>
    <cfRule type="cellIs" dxfId="3" priority="3400" operator="equal">
      <formula>"FI"</formula>
    </cfRule>
    <cfRule type="cellIs" dxfId="4" priority="3399" operator="equal">
      <formula>"FE"</formula>
    </cfRule>
    <cfRule type="cellIs" dxfId="5" priority="3398" operator="equal">
      <formula>"SC"</formula>
    </cfRule>
    <cfRule type="cellIs" dxfId="6" priority="3397" operator="equal">
      <formula>"ET"</formula>
    </cfRule>
  </conditionalFormatting>
  <conditionalFormatting sqref="P164">
    <cfRule type="cellIs" dxfId="0" priority="3389" operator="equal">
      <formula>"DSR"</formula>
    </cfRule>
    <cfRule type="cellIs" dxfId="1" priority="3388" operator="equal">
      <formula>"P"</formula>
    </cfRule>
    <cfRule type="cellIs" dxfId="2" priority="3387" operator="equal">
      <formula>"FJ"</formula>
    </cfRule>
    <cfRule type="cellIs" dxfId="3" priority="3386" operator="equal">
      <formula>"FI"</formula>
    </cfRule>
    <cfRule type="cellIs" dxfId="4" priority="3385" operator="equal">
      <formula>"FE"</formula>
    </cfRule>
    <cfRule type="cellIs" dxfId="5" priority="3384" operator="equal">
      <formula>"SC"</formula>
    </cfRule>
    <cfRule type="cellIs" dxfId="6" priority="3383" operator="equal">
      <formula>"ET"</formula>
    </cfRule>
  </conditionalFormatting>
  <conditionalFormatting sqref="P165">
    <cfRule type="cellIs" dxfId="0" priority="2955" operator="equal">
      <formula>"DSR"</formula>
    </cfRule>
    <cfRule type="cellIs" dxfId="1" priority="2954" operator="equal">
      <formula>"P"</formula>
    </cfRule>
    <cfRule type="cellIs" dxfId="2" priority="2953" operator="equal">
      <formula>"FJ"</formula>
    </cfRule>
    <cfRule type="cellIs" dxfId="3" priority="2952" operator="equal">
      <formula>"FI"</formula>
    </cfRule>
    <cfRule type="cellIs" dxfId="4" priority="2951" operator="equal">
      <formula>"FE"</formula>
    </cfRule>
    <cfRule type="cellIs" dxfId="5" priority="2950" operator="equal">
      <formula>"SC"</formula>
    </cfRule>
    <cfRule type="cellIs" dxfId="6" priority="2949" operator="equal">
      <formula>"ET"</formula>
    </cfRule>
  </conditionalFormatting>
  <conditionalFormatting sqref="P166">
    <cfRule type="cellIs" dxfId="0" priority="3375" operator="equal">
      <formula>"DSR"</formula>
    </cfRule>
    <cfRule type="cellIs" dxfId="1" priority="3374" operator="equal">
      <formula>"P"</formula>
    </cfRule>
    <cfRule type="cellIs" dxfId="2" priority="3373" operator="equal">
      <formula>"FJ"</formula>
    </cfRule>
    <cfRule type="cellIs" dxfId="3" priority="3372" operator="equal">
      <formula>"FI"</formula>
    </cfRule>
    <cfRule type="cellIs" dxfId="4" priority="3371" operator="equal">
      <formula>"FE"</formula>
    </cfRule>
    <cfRule type="cellIs" dxfId="5" priority="3370" operator="equal">
      <formula>"SC"</formula>
    </cfRule>
    <cfRule type="cellIs" dxfId="6" priority="3369" operator="equal">
      <formula>"ET"</formula>
    </cfRule>
  </conditionalFormatting>
  <conditionalFormatting sqref="D167:H167">
    <cfRule type="cellIs" dxfId="0" priority="2927" operator="equal">
      <formula>"DSR"</formula>
    </cfRule>
    <cfRule type="cellIs" dxfId="1" priority="2926" operator="equal">
      <formula>"P"</formula>
    </cfRule>
    <cfRule type="cellIs" dxfId="2" priority="2925" operator="equal">
      <formula>"FJ"</formula>
    </cfRule>
    <cfRule type="cellIs" dxfId="3" priority="2924" operator="equal">
      <formula>"FI"</formula>
    </cfRule>
    <cfRule type="cellIs" dxfId="4" priority="2923" operator="equal">
      <formula>"FE"</formula>
    </cfRule>
    <cfRule type="cellIs" dxfId="5" priority="2922" operator="equal">
      <formula>"SC"</formula>
    </cfRule>
    <cfRule type="cellIs" dxfId="6" priority="2921" operator="equal">
      <formula>"ET"</formula>
    </cfRule>
  </conditionalFormatting>
  <conditionalFormatting sqref="I167:J167">
    <cfRule type="cellIs" dxfId="0" priority="2941" operator="equal">
      <formula>"DSR"</formula>
    </cfRule>
    <cfRule type="cellIs" dxfId="1" priority="2940" operator="equal">
      <formula>"P"</formula>
    </cfRule>
    <cfRule type="cellIs" dxfId="2" priority="2939" operator="equal">
      <formula>"FJ"</formula>
    </cfRule>
    <cfRule type="cellIs" dxfId="3" priority="2938" operator="equal">
      <formula>"FI"</formula>
    </cfRule>
    <cfRule type="cellIs" dxfId="4" priority="2937" operator="equal">
      <formula>"FE"</formula>
    </cfRule>
    <cfRule type="cellIs" dxfId="5" priority="2936" operator="equal">
      <formula>"SC"</formula>
    </cfRule>
    <cfRule type="cellIs" dxfId="6" priority="2935" operator="equal">
      <formula>"ET"</formula>
    </cfRule>
  </conditionalFormatting>
  <conditionalFormatting sqref="K167:O167">
    <cfRule type="cellIs" dxfId="0" priority="2920" operator="equal">
      <formula>"DSR"</formula>
    </cfRule>
    <cfRule type="cellIs" dxfId="1" priority="2919" operator="equal">
      <formula>"P"</formula>
    </cfRule>
    <cfRule type="cellIs" dxfId="2" priority="2918" operator="equal">
      <formula>"FJ"</formula>
    </cfRule>
    <cfRule type="cellIs" dxfId="3" priority="2917" operator="equal">
      <formula>"FI"</formula>
    </cfRule>
    <cfRule type="cellIs" dxfId="4" priority="2916" operator="equal">
      <formula>"FE"</formula>
    </cfRule>
    <cfRule type="cellIs" dxfId="5" priority="2915" operator="equal">
      <formula>"SC"</formula>
    </cfRule>
    <cfRule type="cellIs" dxfId="6" priority="2914" operator="equal">
      <formula>"ET"</formula>
    </cfRule>
  </conditionalFormatting>
  <conditionalFormatting sqref="P167">
    <cfRule type="cellIs" dxfId="0" priority="2934" operator="equal">
      <formula>"DSR"</formula>
    </cfRule>
    <cfRule type="cellIs" dxfId="1" priority="2933" operator="equal">
      <formula>"P"</formula>
    </cfRule>
    <cfRule type="cellIs" dxfId="2" priority="2932" operator="equal">
      <formula>"FJ"</formula>
    </cfRule>
    <cfRule type="cellIs" dxfId="3" priority="2931" operator="equal">
      <formula>"FI"</formula>
    </cfRule>
    <cfRule type="cellIs" dxfId="4" priority="2930" operator="equal">
      <formula>"FE"</formula>
    </cfRule>
    <cfRule type="cellIs" dxfId="5" priority="2929" operator="equal">
      <formula>"SC"</formula>
    </cfRule>
    <cfRule type="cellIs" dxfId="6" priority="2928" operator="equal">
      <formula>"ET"</formula>
    </cfRule>
  </conditionalFormatting>
  <conditionalFormatting sqref="R167:T167">
    <cfRule type="cellIs" dxfId="0" priority="2913" operator="equal">
      <formula>"DSR"</formula>
    </cfRule>
    <cfRule type="cellIs" dxfId="1" priority="2912" operator="equal">
      <formula>"P"</formula>
    </cfRule>
    <cfRule type="cellIs" dxfId="2" priority="2911" operator="equal">
      <formula>"FJ"</formula>
    </cfRule>
    <cfRule type="cellIs" dxfId="3" priority="2910" operator="equal">
      <formula>"FI"</formula>
    </cfRule>
    <cfRule type="cellIs" dxfId="4" priority="2909" operator="equal">
      <formula>"FE"</formula>
    </cfRule>
    <cfRule type="cellIs" dxfId="5" priority="2908" operator="equal">
      <formula>"SC"</formula>
    </cfRule>
    <cfRule type="cellIs" dxfId="6" priority="2907" operator="equal">
      <formula>"ET"</formula>
    </cfRule>
  </conditionalFormatting>
  <conditionalFormatting sqref="D168:H168">
    <cfRule type="cellIs" dxfId="0" priority="2885" operator="equal">
      <formula>"DSR"</formula>
    </cfRule>
    <cfRule type="cellIs" dxfId="1" priority="2884" operator="equal">
      <formula>"P"</formula>
    </cfRule>
    <cfRule type="cellIs" dxfId="2" priority="2883" operator="equal">
      <formula>"FJ"</formula>
    </cfRule>
    <cfRule type="cellIs" dxfId="3" priority="2882" operator="equal">
      <formula>"FI"</formula>
    </cfRule>
    <cfRule type="cellIs" dxfId="4" priority="2881" operator="equal">
      <formula>"FE"</formula>
    </cfRule>
    <cfRule type="cellIs" dxfId="5" priority="2880" operator="equal">
      <formula>"SC"</formula>
    </cfRule>
    <cfRule type="cellIs" dxfId="6" priority="2879" operator="equal">
      <formula>"ET"</formula>
    </cfRule>
  </conditionalFormatting>
  <conditionalFormatting sqref="I168:J168">
    <cfRule type="cellIs" dxfId="0" priority="2899" operator="equal">
      <formula>"DSR"</formula>
    </cfRule>
    <cfRule type="cellIs" dxfId="1" priority="2898" operator="equal">
      <formula>"P"</formula>
    </cfRule>
    <cfRule type="cellIs" dxfId="2" priority="2897" operator="equal">
      <formula>"FJ"</formula>
    </cfRule>
    <cfRule type="cellIs" dxfId="3" priority="2896" operator="equal">
      <formula>"FI"</formula>
    </cfRule>
    <cfRule type="cellIs" dxfId="4" priority="2895" operator="equal">
      <formula>"FE"</formula>
    </cfRule>
    <cfRule type="cellIs" dxfId="5" priority="2894" operator="equal">
      <formula>"SC"</formula>
    </cfRule>
    <cfRule type="cellIs" dxfId="6" priority="2893" operator="equal">
      <formula>"ET"</formula>
    </cfRule>
  </conditionalFormatting>
  <conditionalFormatting sqref="K168:O168">
    <cfRule type="cellIs" dxfId="0" priority="2878" operator="equal">
      <formula>"DSR"</formula>
    </cfRule>
    <cfRule type="cellIs" dxfId="1" priority="2877" operator="equal">
      <formula>"P"</formula>
    </cfRule>
    <cfRule type="cellIs" dxfId="2" priority="2876" operator="equal">
      <formula>"FJ"</formula>
    </cfRule>
    <cfRule type="cellIs" dxfId="3" priority="2875" operator="equal">
      <formula>"FI"</formula>
    </cfRule>
    <cfRule type="cellIs" dxfId="4" priority="2874" operator="equal">
      <formula>"FE"</formula>
    </cfRule>
    <cfRule type="cellIs" dxfId="5" priority="2873" operator="equal">
      <formula>"SC"</formula>
    </cfRule>
    <cfRule type="cellIs" dxfId="6" priority="2872" operator="equal">
      <formula>"ET"</formula>
    </cfRule>
  </conditionalFormatting>
  <conditionalFormatting sqref="P168">
    <cfRule type="cellIs" dxfId="0" priority="2892" operator="equal">
      <formula>"DSR"</formula>
    </cfRule>
    <cfRule type="cellIs" dxfId="1" priority="2891" operator="equal">
      <formula>"P"</formula>
    </cfRule>
    <cfRule type="cellIs" dxfId="2" priority="2890" operator="equal">
      <formula>"FJ"</formula>
    </cfRule>
    <cfRule type="cellIs" dxfId="3" priority="2889" operator="equal">
      <formula>"FI"</formula>
    </cfRule>
    <cfRule type="cellIs" dxfId="4" priority="2888" operator="equal">
      <formula>"FE"</formula>
    </cfRule>
    <cfRule type="cellIs" dxfId="5" priority="2887" operator="equal">
      <formula>"SC"</formula>
    </cfRule>
    <cfRule type="cellIs" dxfId="6" priority="2886" operator="equal">
      <formula>"ET"</formula>
    </cfRule>
  </conditionalFormatting>
  <conditionalFormatting sqref="R168:T168">
    <cfRule type="cellIs" dxfId="0" priority="2871" operator="equal">
      <formula>"DSR"</formula>
    </cfRule>
    <cfRule type="cellIs" dxfId="1" priority="2870" operator="equal">
      <formula>"P"</formula>
    </cfRule>
    <cfRule type="cellIs" dxfId="2" priority="2869" operator="equal">
      <formula>"FJ"</formula>
    </cfRule>
    <cfRule type="cellIs" dxfId="3" priority="2868" operator="equal">
      <formula>"FI"</formula>
    </cfRule>
    <cfRule type="cellIs" dxfId="4" priority="2867" operator="equal">
      <formula>"FE"</formula>
    </cfRule>
    <cfRule type="cellIs" dxfId="5" priority="2866" operator="equal">
      <formula>"SC"</formula>
    </cfRule>
    <cfRule type="cellIs" dxfId="6" priority="2865" operator="equal">
      <formula>"ET"</formula>
    </cfRule>
  </conditionalFormatting>
  <conditionalFormatting sqref="D169:H169">
    <cfRule type="cellIs" dxfId="0" priority="2857" operator="equal">
      <formula>"DSR"</formula>
    </cfRule>
    <cfRule type="cellIs" dxfId="1" priority="2856" operator="equal">
      <formula>"P"</formula>
    </cfRule>
    <cfRule type="cellIs" dxfId="2" priority="2855" operator="equal">
      <formula>"FJ"</formula>
    </cfRule>
    <cfRule type="cellIs" dxfId="3" priority="2854" operator="equal">
      <formula>"FI"</formula>
    </cfRule>
    <cfRule type="cellIs" dxfId="4" priority="2853" operator="equal">
      <formula>"FE"</formula>
    </cfRule>
    <cfRule type="cellIs" dxfId="5" priority="2852" operator="equal">
      <formula>"SC"</formula>
    </cfRule>
    <cfRule type="cellIs" dxfId="6" priority="2851" operator="equal">
      <formula>"ET"</formula>
    </cfRule>
  </conditionalFormatting>
  <conditionalFormatting sqref="I169:J169">
    <cfRule type="cellIs" dxfId="0" priority="2864" operator="equal">
      <formula>"DSR"</formula>
    </cfRule>
    <cfRule type="cellIs" dxfId="1" priority="2863" operator="equal">
      <formula>"P"</formula>
    </cfRule>
    <cfRule type="cellIs" dxfId="2" priority="2862" operator="equal">
      <formula>"FJ"</formula>
    </cfRule>
    <cfRule type="cellIs" dxfId="3" priority="2861" operator="equal">
      <formula>"FI"</formula>
    </cfRule>
    <cfRule type="cellIs" dxfId="4" priority="2860" operator="equal">
      <formula>"FE"</formula>
    </cfRule>
    <cfRule type="cellIs" dxfId="5" priority="2859" operator="equal">
      <formula>"SC"</formula>
    </cfRule>
    <cfRule type="cellIs" dxfId="6" priority="2858" operator="equal">
      <formula>"ET"</formula>
    </cfRule>
  </conditionalFormatting>
  <conditionalFormatting sqref="K169:O169">
    <cfRule type="cellIs" dxfId="0" priority="2850" operator="equal">
      <formula>"DSR"</formula>
    </cfRule>
    <cfRule type="cellIs" dxfId="1" priority="2849" operator="equal">
      <formula>"P"</formula>
    </cfRule>
    <cfRule type="cellIs" dxfId="2" priority="2848" operator="equal">
      <formula>"FJ"</formula>
    </cfRule>
    <cfRule type="cellIs" dxfId="3" priority="2847" operator="equal">
      <formula>"FI"</formula>
    </cfRule>
    <cfRule type="cellIs" dxfId="4" priority="2846" operator="equal">
      <formula>"FE"</formula>
    </cfRule>
    <cfRule type="cellIs" dxfId="5" priority="2845" operator="equal">
      <formula>"SC"</formula>
    </cfRule>
    <cfRule type="cellIs" dxfId="6" priority="2844" operator="equal">
      <formula>"ET"</formula>
    </cfRule>
  </conditionalFormatting>
  <conditionalFormatting sqref="P169">
    <cfRule type="cellIs" dxfId="0" priority="3648" operator="equal">
      <formula>"DSR"</formula>
    </cfRule>
    <cfRule type="cellIs" dxfId="1" priority="3646" operator="equal">
      <formula>"P"</formula>
    </cfRule>
    <cfRule type="cellIs" dxfId="2" priority="3644" operator="equal">
      <formula>"FJ"</formula>
    </cfRule>
    <cfRule type="cellIs" dxfId="3" priority="3642" operator="equal">
      <formula>"FI"</formula>
    </cfRule>
    <cfRule type="cellIs" dxfId="4" priority="3640" operator="equal">
      <formula>"FE"</formula>
    </cfRule>
    <cfRule type="cellIs" dxfId="5" priority="3638" operator="equal">
      <formula>"SC"</formula>
    </cfRule>
    <cfRule type="cellIs" dxfId="6" priority="3636" operator="equal">
      <formula>"ET"</formula>
    </cfRule>
  </conditionalFormatting>
  <conditionalFormatting sqref="I170:J170">
    <cfRule type="cellIs" dxfId="0" priority="3725" operator="equal">
      <formula>"DSR"</formula>
    </cfRule>
    <cfRule type="cellIs" dxfId="1" priority="3724" operator="equal">
      <formula>"P"</formula>
    </cfRule>
    <cfRule type="cellIs" dxfId="2" priority="3723" operator="equal">
      <formula>"FJ"</formula>
    </cfRule>
    <cfRule type="cellIs" dxfId="3" priority="3722" operator="equal">
      <formula>"FI"</formula>
    </cfRule>
    <cfRule type="cellIs" dxfId="4" priority="3721" operator="equal">
      <formula>"FE"</formula>
    </cfRule>
    <cfRule type="cellIs" dxfId="5" priority="3720" operator="equal">
      <formula>"SC"</formula>
    </cfRule>
    <cfRule type="cellIs" dxfId="6" priority="3719" operator="equal">
      <formula>"ET"</formula>
    </cfRule>
  </conditionalFormatting>
  <conditionalFormatting sqref="P170">
    <cfRule type="cellIs" dxfId="0" priority="3647" operator="equal">
      <formula>"DSR"</formula>
    </cfRule>
    <cfRule type="cellIs" dxfId="1" priority="3645" operator="equal">
      <formula>"P"</formula>
    </cfRule>
    <cfRule type="cellIs" dxfId="2" priority="3643" operator="equal">
      <formula>"FJ"</formula>
    </cfRule>
    <cfRule type="cellIs" dxfId="3" priority="3641" operator="equal">
      <formula>"FI"</formula>
    </cfRule>
    <cfRule type="cellIs" dxfId="4" priority="3639" operator="equal">
      <formula>"FE"</formula>
    </cfRule>
    <cfRule type="cellIs" dxfId="5" priority="3637" operator="equal">
      <formula>"SC"</formula>
    </cfRule>
    <cfRule type="cellIs" dxfId="6" priority="3635" operator="equal">
      <formula>"ET"</formula>
    </cfRule>
  </conditionalFormatting>
  <conditionalFormatting sqref="P171">
    <cfRule type="cellIs" dxfId="0" priority="3361" operator="equal">
      <formula>"DSR"</formula>
    </cfRule>
    <cfRule type="cellIs" dxfId="1" priority="3360" operator="equal">
      <formula>"P"</formula>
    </cfRule>
    <cfRule type="cellIs" dxfId="2" priority="3359" operator="equal">
      <formula>"FJ"</formula>
    </cfRule>
    <cfRule type="cellIs" dxfId="3" priority="3358" operator="equal">
      <formula>"FI"</formula>
    </cfRule>
    <cfRule type="cellIs" dxfId="4" priority="3357" operator="equal">
      <formula>"FE"</formula>
    </cfRule>
    <cfRule type="cellIs" dxfId="5" priority="3356" operator="equal">
      <formula>"SC"</formula>
    </cfRule>
    <cfRule type="cellIs" dxfId="6" priority="3355" operator="equal">
      <formula>"ET"</formula>
    </cfRule>
  </conditionalFormatting>
  <conditionalFormatting sqref="P172">
    <cfRule type="cellIs" dxfId="0" priority="3347" operator="equal">
      <formula>"DSR"</formula>
    </cfRule>
    <cfRule type="cellIs" dxfId="1" priority="3346" operator="equal">
      <formula>"P"</formula>
    </cfRule>
    <cfRule type="cellIs" dxfId="2" priority="3345" operator="equal">
      <formula>"FJ"</formula>
    </cfRule>
    <cfRule type="cellIs" dxfId="3" priority="3344" operator="equal">
      <formula>"FI"</formula>
    </cfRule>
    <cfRule type="cellIs" dxfId="4" priority="3343" operator="equal">
      <formula>"FE"</formula>
    </cfRule>
    <cfRule type="cellIs" dxfId="5" priority="3342" operator="equal">
      <formula>"SC"</formula>
    </cfRule>
    <cfRule type="cellIs" dxfId="6" priority="3341" operator="equal">
      <formula>"ET"</formula>
    </cfRule>
  </conditionalFormatting>
  <conditionalFormatting sqref="R172">
    <cfRule type="cellIs" dxfId="0" priority="3144" operator="equal">
      <formula>"DSR"</formula>
    </cfRule>
    <cfRule type="cellIs" dxfId="1" priority="3143" operator="equal">
      <formula>"P"</formula>
    </cfRule>
    <cfRule type="cellIs" dxfId="2" priority="3142" operator="equal">
      <formula>"FJ"</formula>
    </cfRule>
    <cfRule type="cellIs" dxfId="3" priority="3141" operator="equal">
      <formula>"FI"</formula>
    </cfRule>
    <cfRule type="cellIs" dxfId="4" priority="3140" operator="equal">
      <formula>"FE"</formula>
    </cfRule>
    <cfRule type="cellIs" dxfId="5" priority="3139" operator="equal">
      <formula>"SC"</formula>
    </cfRule>
    <cfRule type="cellIs" dxfId="6" priority="3138" operator="equal">
      <formula>"ET"</formula>
    </cfRule>
  </conditionalFormatting>
  <conditionalFormatting sqref="S172">
    <cfRule type="cellIs" dxfId="0" priority="3137" operator="equal">
      <formula>"DSR"</formula>
    </cfRule>
    <cfRule type="cellIs" dxfId="1" priority="3136" operator="equal">
      <formula>"P"</formula>
    </cfRule>
    <cfRule type="cellIs" dxfId="2" priority="3135" operator="equal">
      <formula>"FJ"</formula>
    </cfRule>
    <cfRule type="cellIs" dxfId="3" priority="3134" operator="equal">
      <formula>"FI"</formula>
    </cfRule>
    <cfRule type="cellIs" dxfId="4" priority="3133" operator="equal">
      <formula>"FE"</formula>
    </cfRule>
    <cfRule type="cellIs" dxfId="5" priority="3132" operator="equal">
      <formula>"SC"</formula>
    </cfRule>
    <cfRule type="cellIs" dxfId="6" priority="3131" operator="equal">
      <formula>"ET"</formula>
    </cfRule>
  </conditionalFormatting>
  <conditionalFormatting sqref="T172">
    <cfRule type="cellIs" dxfId="0" priority="3130" operator="equal">
      <formula>"DSR"</formula>
    </cfRule>
    <cfRule type="cellIs" dxfId="1" priority="3129" operator="equal">
      <formula>"P"</formula>
    </cfRule>
    <cfRule type="cellIs" dxfId="2" priority="3128" operator="equal">
      <formula>"FJ"</formula>
    </cfRule>
    <cfRule type="cellIs" dxfId="3" priority="3127" operator="equal">
      <formula>"FI"</formula>
    </cfRule>
    <cfRule type="cellIs" dxfId="4" priority="3126" operator="equal">
      <formula>"FE"</formula>
    </cfRule>
    <cfRule type="cellIs" dxfId="5" priority="3125" operator="equal">
      <formula>"SC"</formula>
    </cfRule>
    <cfRule type="cellIs" dxfId="6" priority="3124" operator="equal">
      <formula>"ET"</formula>
    </cfRule>
  </conditionalFormatting>
  <conditionalFormatting sqref="U172">
    <cfRule type="cellIs" dxfId="0" priority="3123" operator="equal">
      <formula>"DSR"</formula>
    </cfRule>
    <cfRule type="cellIs" dxfId="1" priority="3122" operator="equal">
      <formula>"P"</formula>
    </cfRule>
    <cfRule type="cellIs" dxfId="2" priority="3121" operator="equal">
      <formula>"FJ"</formula>
    </cfRule>
    <cfRule type="cellIs" dxfId="3" priority="3120" operator="equal">
      <formula>"FI"</formula>
    </cfRule>
    <cfRule type="cellIs" dxfId="4" priority="3119" operator="equal">
      <formula>"FE"</formula>
    </cfRule>
    <cfRule type="cellIs" dxfId="5" priority="3118" operator="equal">
      <formula>"SC"</formula>
    </cfRule>
    <cfRule type="cellIs" dxfId="6" priority="3117" operator="equal">
      <formula>"ET"</formula>
    </cfRule>
  </conditionalFormatting>
  <conditionalFormatting sqref="V172">
    <cfRule type="cellIs" dxfId="0" priority="3116" operator="equal">
      <formula>"DSR"</formula>
    </cfRule>
    <cfRule type="cellIs" dxfId="1" priority="3115" operator="equal">
      <formula>"P"</formula>
    </cfRule>
    <cfRule type="cellIs" dxfId="2" priority="3114" operator="equal">
      <formula>"FJ"</formula>
    </cfRule>
    <cfRule type="cellIs" dxfId="3" priority="3113" operator="equal">
      <formula>"FI"</formula>
    </cfRule>
    <cfRule type="cellIs" dxfId="4" priority="3112" operator="equal">
      <formula>"FE"</formula>
    </cfRule>
    <cfRule type="cellIs" dxfId="5" priority="3111" operator="equal">
      <formula>"SC"</formula>
    </cfRule>
    <cfRule type="cellIs" dxfId="6" priority="3110" operator="equal">
      <formula>"ET"</formula>
    </cfRule>
  </conditionalFormatting>
  <conditionalFormatting sqref="W172:X172">
    <cfRule type="cellIs" dxfId="0" priority="3109" operator="equal">
      <formula>"DSR"</formula>
    </cfRule>
    <cfRule type="cellIs" dxfId="1" priority="3108" operator="equal">
      <formula>"P"</formula>
    </cfRule>
    <cfRule type="cellIs" dxfId="2" priority="3107" operator="equal">
      <formula>"FJ"</formula>
    </cfRule>
    <cfRule type="cellIs" dxfId="3" priority="3106" operator="equal">
      <formula>"FI"</formula>
    </cfRule>
    <cfRule type="cellIs" dxfId="4" priority="3105" operator="equal">
      <formula>"FE"</formula>
    </cfRule>
    <cfRule type="cellIs" dxfId="5" priority="3104" operator="equal">
      <formula>"SC"</formula>
    </cfRule>
    <cfRule type="cellIs" dxfId="6" priority="3103" operator="equal">
      <formula>"ET"</formula>
    </cfRule>
  </conditionalFormatting>
  <conditionalFormatting sqref="Y172">
    <cfRule type="cellIs" dxfId="0" priority="3102" operator="equal">
      <formula>"DSR"</formula>
    </cfRule>
    <cfRule type="cellIs" dxfId="1" priority="3101" operator="equal">
      <formula>"P"</formula>
    </cfRule>
    <cfRule type="cellIs" dxfId="2" priority="3100" operator="equal">
      <formula>"FJ"</formula>
    </cfRule>
    <cfRule type="cellIs" dxfId="3" priority="3099" operator="equal">
      <formula>"FI"</formula>
    </cfRule>
    <cfRule type="cellIs" dxfId="4" priority="3098" operator="equal">
      <formula>"FE"</formula>
    </cfRule>
    <cfRule type="cellIs" dxfId="5" priority="3097" operator="equal">
      <formula>"SC"</formula>
    </cfRule>
    <cfRule type="cellIs" dxfId="6" priority="3096" operator="equal">
      <formula>"ET"</formula>
    </cfRule>
  </conditionalFormatting>
  <conditionalFormatting sqref="Z172">
    <cfRule type="cellIs" dxfId="0" priority="3095" operator="equal">
      <formula>"DSR"</formula>
    </cfRule>
    <cfRule type="cellIs" dxfId="1" priority="3094" operator="equal">
      <formula>"P"</formula>
    </cfRule>
    <cfRule type="cellIs" dxfId="2" priority="3093" operator="equal">
      <formula>"FJ"</formula>
    </cfRule>
    <cfRule type="cellIs" dxfId="3" priority="3092" operator="equal">
      <formula>"FI"</formula>
    </cfRule>
    <cfRule type="cellIs" dxfId="4" priority="3091" operator="equal">
      <formula>"FE"</formula>
    </cfRule>
    <cfRule type="cellIs" dxfId="5" priority="3090" operator="equal">
      <formula>"SC"</formula>
    </cfRule>
    <cfRule type="cellIs" dxfId="6" priority="3089" operator="equal">
      <formula>"ET"</formula>
    </cfRule>
  </conditionalFormatting>
  <conditionalFormatting sqref="AA172">
    <cfRule type="cellIs" dxfId="0" priority="3088" operator="equal">
      <formula>"DSR"</formula>
    </cfRule>
    <cfRule type="cellIs" dxfId="1" priority="3087" operator="equal">
      <formula>"P"</formula>
    </cfRule>
    <cfRule type="cellIs" dxfId="2" priority="3086" operator="equal">
      <formula>"FJ"</formula>
    </cfRule>
    <cfRule type="cellIs" dxfId="3" priority="3085" operator="equal">
      <formula>"FI"</formula>
    </cfRule>
    <cfRule type="cellIs" dxfId="4" priority="3084" operator="equal">
      <formula>"FE"</formula>
    </cfRule>
    <cfRule type="cellIs" dxfId="5" priority="3083" operator="equal">
      <formula>"SC"</formula>
    </cfRule>
    <cfRule type="cellIs" dxfId="6" priority="3082" operator="equal">
      <formula>"ET"</formula>
    </cfRule>
  </conditionalFormatting>
  <conditionalFormatting sqref="AB172">
    <cfRule type="cellIs" dxfId="0" priority="3081" operator="equal">
      <formula>"DSR"</formula>
    </cfRule>
    <cfRule type="cellIs" dxfId="1" priority="3080" operator="equal">
      <formula>"P"</formula>
    </cfRule>
    <cfRule type="cellIs" dxfId="2" priority="3079" operator="equal">
      <formula>"FJ"</formula>
    </cfRule>
    <cfRule type="cellIs" dxfId="3" priority="3078" operator="equal">
      <formula>"FI"</formula>
    </cfRule>
    <cfRule type="cellIs" dxfId="4" priority="3077" operator="equal">
      <formula>"FE"</formula>
    </cfRule>
    <cfRule type="cellIs" dxfId="5" priority="3076" operator="equal">
      <formula>"SC"</formula>
    </cfRule>
    <cfRule type="cellIs" dxfId="6" priority="3075" operator="equal">
      <formula>"ET"</formula>
    </cfRule>
  </conditionalFormatting>
  <conditionalFormatting sqref="AC172">
    <cfRule type="cellIs" dxfId="0" priority="3074" operator="equal">
      <formula>"DSR"</formula>
    </cfRule>
    <cfRule type="cellIs" dxfId="1" priority="3073" operator="equal">
      <formula>"P"</formula>
    </cfRule>
    <cfRule type="cellIs" dxfId="2" priority="3072" operator="equal">
      <formula>"FJ"</formula>
    </cfRule>
    <cfRule type="cellIs" dxfId="3" priority="3071" operator="equal">
      <formula>"FI"</formula>
    </cfRule>
    <cfRule type="cellIs" dxfId="4" priority="3070" operator="equal">
      <formula>"FE"</formula>
    </cfRule>
    <cfRule type="cellIs" dxfId="5" priority="3069" operator="equal">
      <formula>"SC"</formula>
    </cfRule>
    <cfRule type="cellIs" dxfId="6" priority="3068" operator="equal">
      <formula>"ET"</formula>
    </cfRule>
  </conditionalFormatting>
  <conditionalFormatting sqref="AD172">
    <cfRule type="cellIs" dxfId="0" priority="3067" operator="equal">
      <formula>"DSR"</formula>
    </cfRule>
    <cfRule type="cellIs" dxfId="1" priority="3066" operator="equal">
      <formula>"P"</formula>
    </cfRule>
    <cfRule type="cellIs" dxfId="2" priority="3065" operator="equal">
      <formula>"FJ"</formula>
    </cfRule>
    <cfRule type="cellIs" dxfId="3" priority="3064" operator="equal">
      <formula>"FI"</formula>
    </cfRule>
    <cfRule type="cellIs" dxfId="4" priority="3063" operator="equal">
      <formula>"FE"</formula>
    </cfRule>
    <cfRule type="cellIs" dxfId="5" priority="3062" operator="equal">
      <formula>"SC"</formula>
    </cfRule>
    <cfRule type="cellIs" dxfId="6" priority="3061" operator="equal">
      <formula>"ET"</formula>
    </cfRule>
  </conditionalFormatting>
  <conditionalFormatting sqref="AE172">
    <cfRule type="cellIs" dxfId="0" priority="3060" operator="equal">
      <formula>"DSR"</formula>
    </cfRule>
    <cfRule type="cellIs" dxfId="1" priority="3059" operator="equal">
      <formula>"P"</formula>
    </cfRule>
    <cfRule type="cellIs" dxfId="2" priority="3058" operator="equal">
      <formula>"FJ"</formula>
    </cfRule>
    <cfRule type="cellIs" dxfId="3" priority="3057" operator="equal">
      <formula>"FI"</formula>
    </cfRule>
    <cfRule type="cellIs" dxfId="4" priority="3056" operator="equal">
      <formula>"FE"</formula>
    </cfRule>
    <cfRule type="cellIs" dxfId="5" priority="3055" operator="equal">
      <formula>"SC"</formula>
    </cfRule>
    <cfRule type="cellIs" dxfId="6" priority="3054" operator="equal">
      <formula>"ET"</formula>
    </cfRule>
  </conditionalFormatting>
  <conditionalFormatting sqref="AF172">
    <cfRule type="cellIs" dxfId="0" priority="3053" operator="equal">
      <formula>"DSR"</formula>
    </cfRule>
    <cfRule type="cellIs" dxfId="1" priority="3052" operator="equal">
      <formula>"P"</formula>
    </cfRule>
    <cfRule type="cellIs" dxfId="2" priority="3051" operator="equal">
      <formula>"FJ"</formula>
    </cfRule>
    <cfRule type="cellIs" dxfId="3" priority="3050" operator="equal">
      <formula>"FI"</formula>
    </cfRule>
    <cfRule type="cellIs" dxfId="4" priority="3049" operator="equal">
      <formula>"FE"</formula>
    </cfRule>
    <cfRule type="cellIs" dxfId="5" priority="3048" operator="equal">
      <formula>"SC"</formula>
    </cfRule>
    <cfRule type="cellIs" dxfId="6" priority="3047" operator="equal">
      <formula>"ET"</formula>
    </cfRule>
  </conditionalFormatting>
  <conditionalFormatting sqref="AG172">
    <cfRule type="cellIs" dxfId="0" priority="3046" operator="equal">
      <formula>"DSR"</formula>
    </cfRule>
    <cfRule type="cellIs" dxfId="1" priority="3045" operator="equal">
      <formula>"P"</formula>
    </cfRule>
    <cfRule type="cellIs" dxfId="2" priority="3044" operator="equal">
      <formula>"FJ"</formula>
    </cfRule>
    <cfRule type="cellIs" dxfId="3" priority="3043" operator="equal">
      <formula>"FI"</formula>
    </cfRule>
    <cfRule type="cellIs" dxfId="4" priority="3042" operator="equal">
      <formula>"FE"</formula>
    </cfRule>
    <cfRule type="cellIs" dxfId="5" priority="3041" operator="equal">
      <formula>"SC"</formula>
    </cfRule>
    <cfRule type="cellIs" dxfId="6" priority="3040" operator="equal">
      <formula>"ET"</formula>
    </cfRule>
  </conditionalFormatting>
  <conditionalFormatting sqref="AH172">
    <cfRule type="cellIs" dxfId="0" priority="3039" operator="equal">
      <formula>"DSR"</formula>
    </cfRule>
    <cfRule type="cellIs" dxfId="1" priority="3038" operator="equal">
      <formula>"P"</formula>
    </cfRule>
    <cfRule type="cellIs" dxfId="2" priority="3037" operator="equal">
      <formula>"FJ"</formula>
    </cfRule>
    <cfRule type="cellIs" dxfId="3" priority="3036" operator="equal">
      <formula>"FI"</formula>
    </cfRule>
    <cfRule type="cellIs" dxfId="4" priority="3035" operator="equal">
      <formula>"FE"</formula>
    </cfRule>
    <cfRule type="cellIs" dxfId="5" priority="3034" operator="equal">
      <formula>"SC"</formula>
    </cfRule>
    <cfRule type="cellIs" dxfId="6" priority="3033" operator="equal">
      <formula>"ET"</formula>
    </cfRule>
  </conditionalFormatting>
  <conditionalFormatting sqref="I173:J173">
    <cfRule type="cellIs" dxfId="0" priority="3676" operator="equal">
      <formula>"DSR"</formula>
    </cfRule>
    <cfRule type="cellIs" dxfId="1" priority="3673" operator="equal">
      <formula>"P"</formula>
    </cfRule>
    <cfRule type="cellIs" dxfId="2" priority="3670" operator="equal">
      <formula>"FJ"</formula>
    </cfRule>
    <cfRule type="cellIs" dxfId="3" priority="3667" operator="equal">
      <formula>"FI"</formula>
    </cfRule>
    <cfRule type="cellIs" dxfId="4" priority="3664" operator="equal">
      <formula>"FE"</formula>
    </cfRule>
    <cfRule type="cellIs" dxfId="5" priority="3661" operator="equal">
      <formula>"SC"</formula>
    </cfRule>
    <cfRule type="cellIs" dxfId="6" priority="3658" operator="equal">
      <formula>"ET"</formula>
    </cfRule>
  </conditionalFormatting>
  <conditionalFormatting sqref="P173">
    <cfRule type="cellIs" dxfId="0" priority="2843" operator="equal">
      <formula>"DSR"</formula>
    </cfRule>
    <cfRule type="cellIs" dxfId="1" priority="2842" operator="equal">
      <formula>"P"</formula>
    </cfRule>
    <cfRule type="cellIs" dxfId="2" priority="2841" operator="equal">
      <formula>"FJ"</formula>
    </cfRule>
    <cfRule type="cellIs" dxfId="3" priority="2840" operator="equal">
      <formula>"FI"</formula>
    </cfRule>
    <cfRule type="cellIs" dxfId="4" priority="2839" operator="equal">
      <formula>"FE"</formula>
    </cfRule>
    <cfRule type="cellIs" dxfId="5" priority="2838" operator="equal">
      <formula>"SC"</formula>
    </cfRule>
    <cfRule type="cellIs" dxfId="6" priority="2837" operator="equal">
      <formula>"ET"</formula>
    </cfRule>
  </conditionalFormatting>
  <conditionalFormatting sqref="U173">
    <cfRule type="cellIs" dxfId="0" priority="3214" operator="equal">
      <formula>"DSR"</formula>
    </cfRule>
    <cfRule type="cellIs" dxfId="1" priority="3213" operator="equal">
      <formula>"P"</formula>
    </cfRule>
    <cfRule type="cellIs" dxfId="2" priority="3212" operator="equal">
      <formula>"FJ"</formula>
    </cfRule>
    <cfRule type="cellIs" dxfId="3" priority="3211" operator="equal">
      <formula>"FI"</formula>
    </cfRule>
    <cfRule type="cellIs" dxfId="4" priority="3210" operator="equal">
      <formula>"FE"</formula>
    </cfRule>
    <cfRule type="cellIs" dxfId="5" priority="3209" operator="equal">
      <formula>"SC"</formula>
    </cfRule>
    <cfRule type="cellIs" dxfId="6" priority="3208" operator="equal">
      <formula>"ET"</formula>
    </cfRule>
  </conditionalFormatting>
  <conditionalFormatting sqref="V173">
    <cfRule type="cellIs" dxfId="0" priority="3207" operator="equal">
      <formula>"DSR"</formula>
    </cfRule>
    <cfRule type="cellIs" dxfId="1" priority="3206" operator="equal">
      <formula>"P"</formula>
    </cfRule>
    <cfRule type="cellIs" dxfId="2" priority="3205" operator="equal">
      <formula>"FJ"</formula>
    </cfRule>
    <cfRule type="cellIs" dxfId="3" priority="3204" operator="equal">
      <formula>"FI"</formula>
    </cfRule>
    <cfRule type="cellIs" dxfId="4" priority="3203" operator="equal">
      <formula>"FE"</formula>
    </cfRule>
    <cfRule type="cellIs" dxfId="5" priority="3202" operator="equal">
      <formula>"SC"</formula>
    </cfRule>
    <cfRule type="cellIs" dxfId="6" priority="3201" operator="equal">
      <formula>"ET"</formula>
    </cfRule>
  </conditionalFormatting>
  <conditionalFormatting sqref="W173">
    <cfRule type="cellIs" dxfId="0" priority="3200" operator="equal">
      <formula>"DSR"</formula>
    </cfRule>
    <cfRule type="cellIs" dxfId="1" priority="3199" operator="equal">
      <formula>"P"</formula>
    </cfRule>
    <cfRule type="cellIs" dxfId="2" priority="3198" operator="equal">
      <formula>"FJ"</formula>
    </cfRule>
    <cfRule type="cellIs" dxfId="3" priority="3197" operator="equal">
      <formula>"FI"</formula>
    </cfRule>
    <cfRule type="cellIs" dxfId="4" priority="3196" operator="equal">
      <formula>"FE"</formula>
    </cfRule>
    <cfRule type="cellIs" dxfId="5" priority="3195" operator="equal">
      <formula>"SC"</formula>
    </cfRule>
    <cfRule type="cellIs" dxfId="6" priority="3194" operator="equal">
      <formula>"ET"</formula>
    </cfRule>
  </conditionalFormatting>
  <conditionalFormatting sqref="X173">
    <cfRule type="cellIs" dxfId="0" priority="3193" operator="equal">
      <formula>"DSR"</formula>
    </cfRule>
    <cfRule type="cellIs" dxfId="1" priority="3192" operator="equal">
      <formula>"P"</formula>
    </cfRule>
    <cfRule type="cellIs" dxfId="2" priority="3191" operator="equal">
      <formula>"FJ"</formula>
    </cfRule>
    <cfRule type="cellIs" dxfId="3" priority="3190" operator="equal">
      <formula>"FI"</formula>
    </cfRule>
    <cfRule type="cellIs" dxfId="4" priority="3189" operator="equal">
      <formula>"FE"</formula>
    </cfRule>
    <cfRule type="cellIs" dxfId="5" priority="3188" operator="equal">
      <formula>"SC"</formula>
    </cfRule>
    <cfRule type="cellIs" dxfId="6" priority="3187" operator="equal">
      <formula>"ET"</formula>
    </cfRule>
  </conditionalFormatting>
  <conditionalFormatting sqref="Y173">
    <cfRule type="cellIs" dxfId="0" priority="3186" operator="equal">
      <formula>"DSR"</formula>
    </cfRule>
    <cfRule type="cellIs" dxfId="1" priority="3185" operator="equal">
      <formula>"P"</formula>
    </cfRule>
    <cfRule type="cellIs" dxfId="2" priority="3184" operator="equal">
      <formula>"FJ"</formula>
    </cfRule>
    <cfRule type="cellIs" dxfId="3" priority="3183" operator="equal">
      <formula>"FI"</formula>
    </cfRule>
    <cfRule type="cellIs" dxfId="4" priority="3182" operator="equal">
      <formula>"FE"</formula>
    </cfRule>
    <cfRule type="cellIs" dxfId="5" priority="3181" operator="equal">
      <formula>"SC"</formula>
    </cfRule>
    <cfRule type="cellIs" dxfId="6" priority="3180" operator="equal">
      <formula>"ET"</formula>
    </cfRule>
  </conditionalFormatting>
  <conditionalFormatting sqref="Z173">
    <cfRule type="cellIs" dxfId="0" priority="3179" operator="equal">
      <formula>"DSR"</formula>
    </cfRule>
    <cfRule type="cellIs" dxfId="1" priority="3178" operator="equal">
      <formula>"P"</formula>
    </cfRule>
    <cfRule type="cellIs" dxfId="2" priority="3177" operator="equal">
      <formula>"FJ"</formula>
    </cfRule>
    <cfRule type="cellIs" dxfId="3" priority="3176" operator="equal">
      <formula>"FI"</formula>
    </cfRule>
    <cfRule type="cellIs" dxfId="4" priority="3175" operator="equal">
      <formula>"FE"</formula>
    </cfRule>
    <cfRule type="cellIs" dxfId="5" priority="3174" operator="equal">
      <formula>"SC"</formula>
    </cfRule>
    <cfRule type="cellIs" dxfId="6" priority="3173" operator="equal">
      <formula>"ET"</formula>
    </cfRule>
  </conditionalFormatting>
  <conditionalFormatting sqref="AA173">
    <cfRule type="cellIs" dxfId="0" priority="3172" operator="equal">
      <formula>"DSR"</formula>
    </cfRule>
    <cfRule type="cellIs" dxfId="1" priority="3171" operator="equal">
      <formula>"P"</formula>
    </cfRule>
    <cfRule type="cellIs" dxfId="2" priority="3170" operator="equal">
      <formula>"FJ"</formula>
    </cfRule>
    <cfRule type="cellIs" dxfId="3" priority="3169" operator="equal">
      <formula>"FI"</formula>
    </cfRule>
    <cfRule type="cellIs" dxfId="4" priority="3168" operator="equal">
      <formula>"FE"</formula>
    </cfRule>
    <cfRule type="cellIs" dxfId="5" priority="3167" operator="equal">
      <formula>"SC"</formula>
    </cfRule>
    <cfRule type="cellIs" dxfId="6" priority="3166" operator="equal">
      <formula>"ET"</formula>
    </cfRule>
  </conditionalFormatting>
  <conditionalFormatting sqref="AB173">
    <cfRule type="cellIs" dxfId="0" priority="3165" operator="equal">
      <formula>"DSR"</formula>
    </cfRule>
    <cfRule type="cellIs" dxfId="1" priority="3164" operator="equal">
      <formula>"P"</formula>
    </cfRule>
    <cfRule type="cellIs" dxfId="2" priority="3163" operator="equal">
      <formula>"FJ"</formula>
    </cfRule>
    <cfRule type="cellIs" dxfId="3" priority="3162" operator="equal">
      <formula>"FI"</formula>
    </cfRule>
    <cfRule type="cellIs" dxfId="4" priority="3161" operator="equal">
      <formula>"FE"</formula>
    </cfRule>
    <cfRule type="cellIs" dxfId="5" priority="3160" operator="equal">
      <formula>"SC"</formula>
    </cfRule>
    <cfRule type="cellIs" dxfId="6" priority="3159" operator="equal">
      <formula>"ET"</formula>
    </cfRule>
  </conditionalFormatting>
  <conditionalFormatting sqref="AC173">
    <cfRule type="cellIs" dxfId="0" priority="3158" operator="equal">
      <formula>"DSR"</formula>
    </cfRule>
    <cfRule type="cellIs" dxfId="1" priority="3157" operator="equal">
      <formula>"P"</formula>
    </cfRule>
    <cfRule type="cellIs" dxfId="2" priority="3156" operator="equal">
      <formula>"FJ"</formula>
    </cfRule>
    <cfRule type="cellIs" dxfId="3" priority="3155" operator="equal">
      <formula>"FI"</formula>
    </cfRule>
    <cfRule type="cellIs" dxfId="4" priority="3154" operator="equal">
      <formula>"FE"</formula>
    </cfRule>
    <cfRule type="cellIs" dxfId="5" priority="3153" operator="equal">
      <formula>"SC"</formula>
    </cfRule>
    <cfRule type="cellIs" dxfId="6" priority="3152" operator="equal">
      <formula>"ET"</formula>
    </cfRule>
  </conditionalFormatting>
  <conditionalFormatting sqref="AD173">
    <cfRule type="cellIs" dxfId="0" priority="3151" operator="equal">
      <formula>"DSR"</formula>
    </cfRule>
    <cfRule type="cellIs" dxfId="1" priority="3150" operator="equal">
      <formula>"P"</formula>
    </cfRule>
    <cfRule type="cellIs" dxfId="2" priority="3149" operator="equal">
      <formula>"FJ"</formula>
    </cfRule>
    <cfRule type="cellIs" dxfId="3" priority="3148" operator="equal">
      <formula>"FI"</formula>
    </cfRule>
    <cfRule type="cellIs" dxfId="4" priority="3147" operator="equal">
      <formula>"FE"</formula>
    </cfRule>
    <cfRule type="cellIs" dxfId="5" priority="3146" operator="equal">
      <formula>"SC"</formula>
    </cfRule>
    <cfRule type="cellIs" dxfId="6" priority="3145" operator="equal">
      <formula>"ET"</formula>
    </cfRule>
  </conditionalFormatting>
  <conditionalFormatting sqref="AE173">
    <cfRule type="cellIs" dxfId="0" priority="183" operator="equal">
      <formula>"DSR"</formula>
    </cfRule>
    <cfRule type="cellIs" dxfId="1" priority="182" operator="equal">
      <formula>"P"</formula>
    </cfRule>
    <cfRule type="cellIs" dxfId="2" priority="181" operator="equal">
      <formula>"FJ"</formula>
    </cfRule>
    <cfRule type="cellIs" dxfId="3" priority="180" operator="equal">
      <formula>"FI"</formula>
    </cfRule>
    <cfRule type="cellIs" dxfId="4" priority="179" operator="equal">
      <formula>"FE"</formula>
    </cfRule>
    <cfRule type="cellIs" dxfId="5" priority="178" operator="equal">
      <formula>"SC"</formula>
    </cfRule>
    <cfRule type="cellIs" dxfId="6" priority="177" operator="equal">
      <formula>"ET"</formula>
    </cfRule>
  </conditionalFormatting>
  <conditionalFormatting sqref="AF173:AH173">
    <cfRule type="cellIs" dxfId="0" priority="175" operator="equal">
      <formula>"DSR"</formula>
    </cfRule>
    <cfRule type="cellIs" dxfId="1" priority="174" operator="equal">
      <formula>"P"</formula>
    </cfRule>
    <cfRule type="cellIs" dxfId="2" priority="173" operator="equal">
      <formula>"FJ"</formula>
    </cfRule>
    <cfRule type="cellIs" dxfId="3" priority="172" operator="equal">
      <formula>"FI"</formula>
    </cfRule>
    <cfRule type="cellIs" dxfId="4" priority="171" operator="equal">
      <formula>"FE"</formula>
    </cfRule>
    <cfRule type="cellIs" dxfId="5" priority="170" operator="equal">
      <formula>"SC"</formula>
    </cfRule>
    <cfRule type="cellIs" dxfId="6" priority="169" operator="equal">
      <formula>"ET"</formula>
    </cfRule>
  </conditionalFormatting>
  <conditionalFormatting sqref="P174">
    <cfRule type="cellIs" dxfId="0" priority="3333" operator="equal">
      <formula>"DSR"</formula>
    </cfRule>
    <cfRule type="cellIs" dxfId="1" priority="3332" operator="equal">
      <formula>"P"</formula>
    </cfRule>
    <cfRule type="cellIs" dxfId="2" priority="3331" operator="equal">
      <formula>"FJ"</formula>
    </cfRule>
    <cfRule type="cellIs" dxfId="3" priority="3330" operator="equal">
      <formula>"FI"</formula>
    </cfRule>
    <cfRule type="cellIs" dxfId="4" priority="3329" operator="equal">
      <formula>"FE"</formula>
    </cfRule>
    <cfRule type="cellIs" dxfId="5" priority="3328" operator="equal">
      <formula>"SC"</formula>
    </cfRule>
    <cfRule type="cellIs" dxfId="6" priority="3327" operator="equal">
      <formula>"ET"</formula>
    </cfRule>
  </conditionalFormatting>
  <conditionalFormatting sqref="AF174:AH174">
    <cfRule type="cellIs" dxfId="0" priority="1618" operator="equal">
      <formula>"DSR"</formula>
    </cfRule>
    <cfRule type="cellIs" dxfId="1" priority="1617" operator="equal">
      <formula>"P"</formula>
    </cfRule>
    <cfRule type="cellIs" dxfId="2" priority="1616" operator="equal">
      <formula>"FJ"</formula>
    </cfRule>
    <cfRule type="cellIs" dxfId="3" priority="1615" operator="equal">
      <formula>"FI"</formula>
    </cfRule>
    <cfRule type="cellIs" dxfId="4" priority="1614" operator="equal">
      <formula>"FE"</formula>
    </cfRule>
    <cfRule type="cellIs" dxfId="5" priority="1613" operator="equal">
      <formula>"SC"</formula>
    </cfRule>
    <cfRule type="cellIs" dxfId="6" priority="1612" operator="equal">
      <formula>"ET"</formula>
    </cfRule>
  </conditionalFormatting>
  <conditionalFormatting sqref="P175">
    <cfRule type="cellIs" dxfId="0" priority="3319" operator="equal">
      <formula>"DSR"</formula>
    </cfRule>
    <cfRule type="cellIs" dxfId="1" priority="3318" operator="equal">
      <formula>"P"</formula>
    </cfRule>
    <cfRule type="cellIs" dxfId="2" priority="3317" operator="equal">
      <formula>"FJ"</formula>
    </cfRule>
    <cfRule type="cellIs" dxfId="3" priority="3316" operator="equal">
      <formula>"FI"</formula>
    </cfRule>
    <cfRule type="cellIs" dxfId="4" priority="3315" operator="equal">
      <formula>"FE"</formula>
    </cfRule>
    <cfRule type="cellIs" dxfId="5" priority="3314" operator="equal">
      <formula>"SC"</formula>
    </cfRule>
    <cfRule type="cellIs" dxfId="6" priority="3313" operator="equal">
      <formula>"ET"</formula>
    </cfRule>
  </conditionalFormatting>
  <conditionalFormatting sqref="I176:J176">
    <cfRule type="cellIs" dxfId="0" priority="3675" operator="equal">
      <formula>"DSR"</formula>
    </cfRule>
    <cfRule type="cellIs" dxfId="1" priority="3672" operator="equal">
      <formula>"P"</formula>
    </cfRule>
    <cfRule type="cellIs" dxfId="2" priority="3669" operator="equal">
      <formula>"FJ"</formula>
    </cfRule>
    <cfRule type="cellIs" dxfId="3" priority="3666" operator="equal">
      <formula>"FI"</formula>
    </cfRule>
    <cfRule type="cellIs" dxfId="4" priority="3663" operator="equal">
      <formula>"FE"</formula>
    </cfRule>
    <cfRule type="cellIs" dxfId="5" priority="3660" operator="equal">
      <formula>"SC"</formula>
    </cfRule>
    <cfRule type="cellIs" dxfId="6" priority="3657" operator="equal">
      <formula>"ET"</formula>
    </cfRule>
  </conditionalFormatting>
  <conditionalFormatting sqref="P176">
    <cfRule type="cellIs" dxfId="0" priority="3634" operator="equal">
      <formula>"DSR"</formula>
    </cfRule>
    <cfRule type="cellIs" dxfId="1" priority="3632" operator="equal">
      <formula>"P"</formula>
    </cfRule>
    <cfRule type="cellIs" dxfId="2" priority="3630" operator="equal">
      <formula>"FJ"</formula>
    </cfRule>
    <cfRule type="cellIs" dxfId="3" priority="3628" operator="equal">
      <formula>"FI"</formula>
    </cfRule>
    <cfRule type="cellIs" dxfId="4" priority="3626" operator="equal">
      <formula>"FE"</formula>
    </cfRule>
    <cfRule type="cellIs" dxfId="5" priority="3624" operator="equal">
      <formula>"SC"</formula>
    </cfRule>
    <cfRule type="cellIs" dxfId="6" priority="3622" operator="equal">
      <formula>"ET"</formula>
    </cfRule>
  </conditionalFormatting>
  <conditionalFormatting sqref="P177">
    <cfRule type="cellIs" dxfId="0" priority="3305" operator="equal">
      <formula>"DSR"</formula>
    </cfRule>
    <cfRule type="cellIs" dxfId="1" priority="3304" operator="equal">
      <formula>"P"</formula>
    </cfRule>
    <cfRule type="cellIs" dxfId="2" priority="3303" operator="equal">
      <formula>"FJ"</formula>
    </cfRule>
    <cfRule type="cellIs" dxfId="3" priority="3302" operator="equal">
      <formula>"FI"</formula>
    </cfRule>
    <cfRule type="cellIs" dxfId="4" priority="3301" operator="equal">
      <formula>"FE"</formula>
    </cfRule>
    <cfRule type="cellIs" dxfId="5" priority="3300" operator="equal">
      <formula>"SC"</formula>
    </cfRule>
    <cfRule type="cellIs" dxfId="6" priority="3299" operator="equal">
      <formula>"ET"</formula>
    </cfRule>
  </conditionalFormatting>
  <conditionalFormatting sqref="I178:J178">
    <cfRule type="cellIs" dxfId="0" priority="3674" operator="equal">
      <formula>"DSR"</formula>
    </cfRule>
    <cfRule type="cellIs" dxfId="1" priority="3671" operator="equal">
      <formula>"P"</formula>
    </cfRule>
    <cfRule type="cellIs" dxfId="2" priority="3668" operator="equal">
      <formula>"FJ"</formula>
    </cfRule>
    <cfRule type="cellIs" dxfId="3" priority="3665" operator="equal">
      <formula>"FI"</formula>
    </cfRule>
    <cfRule type="cellIs" dxfId="4" priority="3662" operator="equal">
      <formula>"FE"</formula>
    </cfRule>
    <cfRule type="cellIs" dxfId="5" priority="3659" operator="equal">
      <formula>"SC"</formula>
    </cfRule>
    <cfRule type="cellIs" dxfId="6" priority="3656" operator="equal">
      <formula>"ET"</formula>
    </cfRule>
  </conditionalFormatting>
  <conditionalFormatting sqref="P178">
    <cfRule type="cellIs" dxfId="0" priority="3633" operator="equal">
      <formula>"DSR"</formula>
    </cfRule>
    <cfRule type="cellIs" dxfId="1" priority="3631" operator="equal">
      <formula>"P"</formula>
    </cfRule>
    <cfRule type="cellIs" dxfId="2" priority="3629" operator="equal">
      <formula>"FJ"</formula>
    </cfRule>
    <cfRule type="cellIs" dxfId="3" priority="3627" operator="equal">
      <formula>"FI"</formula>
    </cfRule>
    <cfRule type="cellIs" dxfId="4" priority="3625" operator="equal">
      <formula>"FE"</formula>
    </cfRule>
    <cfRule type="cellIs" dxfId="5" priority="3623" operator="equal">
      <formula>"SC"</formula>
    </cfRule>
    <cfRule type="cellIs" dxfId="6" priority="3621" operator="equal">
      <formula>"ET"</formula>
    </cfRule>
  </conditionalFormatting>
  <conditionalFormatting sqref="AC178">
    <cfRule type="cellIs" dxfId="0" priority="91" operator="equal">
      <formula>"DSR"</formula>
    </cfRule>
    <cfRule type="cellIs" dxfId="1" priority="90" operator="equal">
      <formula>"P"</formula>
    </cfRule>
    <cfRule type="cellIs" dxfId="2" priority="89" operator="equal">
      <formula>"FJ"</formula>
    </cfRule>
    <cfRule type="cellIs" dxfId="3" priority="88" operator="equal">
      <formula>"FI"</formula>
    </cfRule>
    <cfRule type="cellIs" dxfId="4" priority="87" operator="equal">
      <formula>"FE"</formula>
    </cfRule>
    <cfRule type="cellIs" dxfId="5" priority="86" operator="equal">
      <formula>"SC"</formula>
    </cfRule>
    <cfRule type="cellIs" dxfId="6" priority="85" operator="equal">
      <formula>"ET"</formula>
    </cfRule>
  </conditionalFormatting>
  <conditionalFormatting sqref="P179">
    <cfRule type="cellIs" dxfId="0" priority="3291" operator="equal">
      <formula>"DSR"</formula>
    </cfRule>
    <cfRule type="cellIs" dxfId="1" priority="3290" operator="equal">
      <formula>"P"</formula>
    </cfRule>
    <cfRule type="cellIs" dxfId="2" priority="3289" operator="equal">
      <formula>"FJ"</formula>
    </cfRule>
    <cfRule type="cellIs" dxfId="3" priority="3288" operator="equal">
      <formula>"FI"</formula>
    </cfRule>
    <cfRule type="cellIs" dxfId="4" priority="3287" operator="equal">
      <formula>"FE"</formula>
    </cfRule>
    <cfRule type="cellIs" dxfId="5" priority="3286" operator="equal">
      <formula>"SC"</formula>
    </cfRule>
    <cfRule type="cellIs" dxfId="6" priority="3285" operator="equal">
      <formula>"ET"</formula>
    </cfRule>
  </conditionalFormatting>
  <conditionalFormatting sqref="P180">
    <cfRule type="cellIs" dxfId="0" priority="2836" operator="equal">
      <formula>"DSR"</formula>
    </cfRule>
    <cfRule type="cellIs" dxfId="1" priority="2835" operator="equal">
      <formula>"P"</formula>
    </cfRule>
    <cfRule type="cellIs" dxfId="2" priority="2834" operator="equal">
      <formula>"FJ"</formula>
    </cfRule>
    <cfRule type="cellIs" dxfId="3" priority="2833" operator="equal">
      <formula>"FI"</formula>
    </cfRule>
    <cfRule type="cellIs" dxfId="4" priority="2832" operator="equal">
      <formula>"FE"</formula>
    </cfRule>
    <cfRule type="cellIs" dxfId="5" priority="2831" operator="equal">
      <formula>"SC"</formula>
    </cfRule>
    <cfRule type="cellIs" dxfId="6" priority="2830" operator="equal">
      <formula>"ET"</formula>
    </cfRule>
  </conditionalFormatting>
  <conditionalFormatting sqref="V180">
    <cfRule type="cellIs" dxfId="0" priority="2829" operator="equal">
      <formula>"DSR"</formula>
    </cfRule>
    <cfRule type="cellIs" dxfId="1" priority="2828" operator="equal">
      <formula>"P"</formula>
    </cfRule>
    <cfRule type="cellIs" dxfId="2" priority="2827" operator="equal">
      <formula>"FJ"</formula>
    </cfRule>
    <cfRule type="cellIs" dxfId="3" priority="2826" operator="equal">
      <formula>"FI"</formula>
    </cfRule>
    <cfRule type="cellIs" dxfId="4" priority="2825" operator="equal">
      <formula>"FE"</formula>
    </cfRule>
    <cfRule type="cellIs" dxfId="5" priority="2824" operator="equal">
      <formula>"SC"</formula>
    </cfRule>
    <cfRule type="cellIs" dxfId="6" priority="2823" operator="equal">
      <formula>"ET"</formula>
    </cfRule>
  </conditionalFormatting>
  <conditionalFormatting sqref="P181">
    <cfRule type="cellIs" dxfId="0" priority="3277" operator="equal">
      <formula>"DSR"</formula>
    </cfRule>
    <cfRule type="cellIs" dxfId="1" priority="3276" operator="equal">
      <formula>"P"</formula>
    </cfRule>
    <cfRule type="cellIs" dxfId="2" priority="3275" operator="equal">
      <formula>"FJ"</formula>
    </cfRule>
    <cfRule type="cellIs" dxfId="3" priority="3274" operator="equal">
      <formula>"FI"</formula>
    </cfRule>
    <cfRule type="cellIs" dxfId="4" priority="3273" operator="equal">
      <formula>"FE"</formula>
    </cfRule>
    <cfRule type="cellIs" dxfId="5" priority="3272" operator="equal">
      <formula>"SC"</formula>
    </cfRule>
    <cfRule type="cellIs" dxfId="6" priority="3271" operator="equal">
      <formula>"ET"</formula>
    </cfRule>
  </conditionalFormatting>
  <conditionalFormatting sqref="AC181">
    <cfRule type="cellIs" dxfId="0" priority="84" operator="equal">
      <formula>"DSR"</formula>
    </cfRule>
    <cfRule type="cellIs" dxfId="1" priority="83" operator="equal">
      <formula>"P"</formula>
    </cfRule>
    <cfRule type="cellIs" dxfId="2" priority="82" operator="equal">
      <formula>"FJ"</formula>
    </cfRule>
    <cfRule type="cellIs" dxfId="3" priority="81" operator="equal">
      <formula>"FI"</formula>
    </cfRule>
    <cfRule type="cellIs" dxfId="4" priority="80" operator="equal">
      <formula>"FE"</formula>
    </cfRule>
    <cfRule type="cellIs" dxfId="5" priority="79" operator="equal">
      <formula>"SC"</formula>
    </cfRule>
    <cfRule type="cellIs" dxfId="6" priority="78" operator="equal">
      <formula>"ET"</formula>
    </cfRule>
  </conditionalFormatting>
  <conditionalFormatting sqref="AC182">
    <cfRule type="cellIs" dxfId="0" priority="2808" operator="equal">
      <formula>"DSR"</formula>
    </cfRule>
    <cfRule type="cellIs" dxfId="1" priority="2807" operator="equal">
      <formula>"P"</formula>
    </cfRule>
    <cfRule type="cellIs" dxfId="2" priority="2806" operator="equal">
      <formula>"FJ"</formula>
    </cfRule>
    <cfRule type="cellIs" dxfId="3" priority="2805" operator="equal">
      <formula>"FI"</formula>
    </cfRule>
    <cfRule type="cellIs" dxfId="4" priority="2804" operator="equal">
      <formula>"FE"</formula>
    </cfRule>
    <cfRule type="cellIs" dxfId="5" priority="2803" operator="equal">
      <formula>"SC"</formula>
    </cfRule>
    <cfRule type="cellIs" dxfId="6" priority="2802" operator="equal">
      <formula>"ET"</formula>
    </cfRule>
  </conditionalFormatting>
  <conditionalFormatting sqref="D189:AH189">
    <cfRule type="cellIs" dxfId="0" priority="168" operator="equal">
      <formula>"DSR"</formula>
    </cfRule>
    <cfRule type="cellIs" dxfId="1" priority="167" operator="equal">
      <formula>"P"</formula>
    </cfRule>
    <cfRule type="cellIs" dxfId="2" priority="166" operator="equal">
      <formula>"FJ"</formula>
    </cfRule>
    <cfRule type="cellIs" dxfId="3" priority="165" operator="equal">
      <formula>"FI"</formula>
    </cfRule>
    <cfRule type="cellIs" dxfId="4" priority="164" operator="equal">
      <formula>"FE"</formula>
    </cfRule>
    <cfRule type="cellIs" dxfId="5" priority="163" operator="equal">
      <formula>"SC"</formula>
    </cfRule>
    <cfRule type="cellIs" dxfId="6" priority="162" operator="equal">
      <formula>"ET"</formula>
    </cfRule>
  </conditionalFormatting>
  <conditionalFormatting sqref="D4:D24">
    <cfRule type="cellIs" dxfId="0" priority="225" operator="equal">
      <formula>"DSR"</formula>
    </cfRule>
    <cfRule type="cellIs" dxfId="1" priority="224" operator="equal">
      <formula>"P"</formula>
    </cfRule>
    <cfRule type="cellIs" dxfId="2" priority="223" operator="equal">
      <formula>"FJ"</formula>
    </cfRule>
    <cfRule type="cellIs" dxfId="3" priority="222" operator="equal">
      <formula>"FI"</formula>
    </cfRule>
    <cfRule type="cellIs" dxfId="4" priority="221" operator="equal">
      <formula>"FE"</formula>
    </cfRule>
    <cfRule type="cellIs" dxfId="5" priority="220" operator="equal">
      <formula>"SC"</formula>
    </cfRule>
    <cfRule type="cellIs" dxfId="6" priority="219" operator="equal">
      <formula>"ET"</formula>
    </cfRule>
  </conditionalFormatting>
  <conditionalFormatting sqref="D25:D53">
    <cfRule type="cellIs" dxfId="0" priority="218" operator="equal">
      <formula>"DSR"</formula>
    </cfRule>
    <cfRule type="cellIs" dxfId="1" priority="217" operator="equal">
      <formula>"P"</formula>
    </cfRule>
    <cfRule type="cellIs" dxfId="2" priority="216" operator="equal">
      <formula>"FJ"</formula>
    </cfRule>
    <cfRule type="cellIs" dxfId="3" priority="215" operator="equal">
      <formula>"FI"</formula>
    </cfRule>
    <cfRule type="cellIs" dxfId="4" priority="214" operator="equal">
      <formula>"FE"</formula>
    </cfRule>
    <cfRule type="cellIs" dxfId="5" priority="213" operator="equal">
      <formula>"SC"</formula>
    </cfRule>
    <cfRule type="cellIs" dxfId="6" priority="212" operator="equal">
      <formula>"ET"</formula>
    </cfRule>
  </conditionalFormatting>
  <conditionalFormatting sqref="D68:D70">
    <cfRule type="cellIs" dxfId="0" priority="1898" operator="equal">
      <formula>"DSR"</formula>
    </cfRule>
    <cfRule type="cellIs" dxfId="1" priority="1897" operator="equal">
      <formula>"P"</formula>
    </cfRule>
    <cfRule type="cellIs" dxfId="2" priority="1896" operator="equal">
      <formula>"FJ"</formula>
    </cfRule>
    <cfRule type="cellIs" dxfId="3" priority="1895" operator="equal">
      <formula>"FI"</formula>
    </cfRule>
    <cfRule type="cellIs" dxfId="4" priority="1894" operator="equal">
      <formula>"FE"</formula>
    </cfRule>
    <cfRule type="cellIs" dxfId="5" priority="1893" operator="equal">
      <formula>"SC"</formula>
    </cfRule>
    <cfRule type="cellIs" dxfId="6" priority="1892" operator="equal">
      <formula>"ET"</formula>
    </cfRule>
  </conditionalFormatting>
  <conditionalFormatting sqref="D89:D103">
    <cfRule type="cellIs" dxfId="0" priority="1821" operator="equal">
      <formula>"DSR"</formula>
    </cfRule>
    <cfRule type="cellIs" dxfId="1" priority="1820" operator="equal">
      <formula>"P"</formula>
    </cfRule>
    <cfRule type="cellIs" dxfId="2" priority="1819" operator="equal">
      <formula>"FJ"</formula>
    </cfRule>
    <cfRule type="cellIs" dxfId="3" priority="1818" operator="equal">
      <formula>"FI"</formula>
    </cfRule>
    <cfRule type="cellIs" dxfId="4" priority="1817" operator="equal">
      <formula>"FE"</formula>
    </cfRule>
    <cfRule type="cellIs" dxfId="5" priority="1816" operator="equal">
      <formula>"SC"</formula>
    </cfRule>
    <cfRule type="cellIs" dxfId="6" priority="1815" operator="equal">
      <formula>"ET"</formula>
    </cfRule>
  </conditionalFormatting>
  <conditionalFormatting sqref="E3:E5">
    <cfRule type="cellIs" dxfId="0" priority="610" operator="equal">
      <formula>"DSR"</formula>
    </cfRule>
    <cfRule type="cellIs" dxfId="1" priority="609" operator="equal">
      <formula>"P"</formula>
    </cfRule>
    <cfRule type="cellIs" dxfId="2" priority="608" operator="equal">
      <formula>"FJ"</formula>
    </cfRule>
    <cfRule type="cellIs" dxfId="3" priority="607" operator="equal">
      <formula>"FI"</formula>
    </cfRule>
    <cfRule type="cellIs" dxfId="4" priority="606" operator="equal">
      <formula>"FE"</formula>
    </cfRule>
    <cfRule type="cellIs" dxfId="5" priority="605" operator="equal">
      <formula>"SC"</formula>
    </cfRule>
    <cfRule type="cellIs" dxfId="6" priority="604" operator="equal">
      <formula>"ET"</formula>
    </cfRule>
  </conditionalFormatting>
  <conditionalFormatting sqref="E68:E70">
    <cfRule type="cellIs" dxfId="0" priority="1905" operator="equal">
      <formula>"DSR"</formula>
    </cfRule>
    <cfRule type="cellIs" dxfId="1" priority="1904" operator="equal">
      <formula>"P"</formula>
    </cfRule>
    <cfRule type="cellIs" dxfId="2" priority="1903" operator="equal">
      <formula>"FJ"</formula>
    </cfRule>
    <cfRule type="cellIs" dxfId="3" priority="1902" operator="equal">
      <formula>"FI"</formula>
    </cfRule>
    <cfRule type="cellIs" dxfId="4" priority="1901" operator="equal">
      <formula>"FE"</formula>
    </cfRule>
    <cfRule type="cellIs" dxfId="5" priority="1900" operator="equal">
      <formula>"SC"</formula>
    </cfRule>
    <cfRule type="cellIs" dxfId="6" priority="1899" operator="equal">
      <formula>"ET"</formula>
    </cfRule>
  </conditionalFormatting>
  <conditionalFormatting sqref="H24:H25">
    <cfRule type="cellIs" dxfId="0" priority="841" operator="equal">
      <formula>"DSR"</formula>
    </cfRule>
    <cfRule type="cellIs" dxfId="1" priority="840" operator="equal">
      <formula>"P"</formula>
    </cfRule>
    <cfRule type="cellIs" dxfId="2" priority="839" operator="equal">
      <formula>"FJ"</formula>
    </cfRule>
    <cfRule type="cellIs" dxfId="3" priority="838" operator="equal">
      <formula>"FI"</formula>
    </cfRule>
    <cfRule type="cellIs" dxfId="4" priority="837" operator="equal">
      <formula>"FE"</formula>
    </cfRule>
    <cfRule type="cellIs" dxfId="5" priority="836" operator="equal">
      <formula>"SC"</formula>
    </cfRule>
    <cfRule type="cellIs" dxfId="6" priority="835" operator="equal">
      <formula>"ET"</formula>
    </cfRule>
  </conditionalFormatting>
  <conditionalFormatting sqref="H31:H32">
    <cfRule type="cellIs" dxfId="0" priority="827" operator="equal">
      <formula>"DSR"</formula>
    </cfRule>
    <cfRule type="cellIs" dxfId="1" priority="826" operator="equal">
      <formula>"P"</formula>
    </cfRule>
    <cfRule type="cellIs" dxfId="2" priority="825" operator="equal">
      <formula>"FJ"</formula>
    </cfRule>
    <cfRule type="cellIs" dxfId="3" priority="824" operator="equal">
      <formula>"FI"</formula>
    </cfRule>
    <cfRule type="cellIs" dxfId="4" priority="823" operator="equal">
      <formula>"FE"</formula>
    </cfRule>
    <cfRule type="cellIs" dxfId="5" priority="822" operator="equal">
      <formula>"SC"</formula>
    </cfRule>
    <cfRule type="cellIs" dxfId="6" priority="821" operator="equal">
      <formula>"ET"</formula>
    </cfRule>
  </conditionalFormatting>
  <conditionalFormatting sqref="H88:H89">
    <cfRule type="cellIs" dxfId="0" priority="2087" operator="equal">
      <formula>"DSR"</formula>
    </cfRule>
    <cfRule type="cellIs" dxfId="1" priority="2086" operator="equal">
      <formula>"P"</formula>
    </cfRule>
    <cfRule type="cellIs" dxfId="2" priority="2085" operator="equal">
      <formula>"FJ"</formula>
    </cfRule>
    <cfRule type="cellIs" dxfId="3" priority="2084" operator="equal">
      <formula>"FI"</formula>
    </cfRule>
    <cfRule type="cellIs" dxfId="4" priority="2083" operator="equal">
      <formula>"FE"</formula>
    </cfRule>
    <cfRule type="cellIs" dxfId="5" priority="2082" operator="equal">
      <formula>"SC"</formula>
    </cfRule>
    <cfRule type="cellIs" dxfId="6" priority="2081" operator="equal">
      <formula>"ET"</formula>
    </cfRule>
  </conditionalFormatting>
  <conditionalFormatting sqref="H95:H96">
    <cfRule type="cellIs" dxfId="0" priority="2073" operator="equal">
      <formula>"DSR"</formula>
    </cfRule>
    <cfRule type="cellIs" dxfId="1" priority="2072" operator="equal">
      <formula>"P"</formula>
    </cfRule>
    <cfRule type="cellIs" dxfId="2" priority="2071" operator="equal">
      <formula>"FJ"</formula>
    </cfRule>
    <cfRule type="cellIs" dxfId="3" priority="2070" operator="equal">
      <formula>"FI"</formula>
    </cfRule>
    <cfRule type="cellIs" dxfId="4" priority="2069" operator="equal">
      <formula>"FE"</formula>
    </cfRule>
    <cfRule type="cellIs" dxfId="5" priority="2068" operator="equal">
      <formula>"SC"</formula>
    </cfRule>
    <cfRule type="cellIs" dxfId="6" priority="2067" operator="equal">
      <formula>"ET"</formula>
    </cfRule>
  </conditionalFormatting>
  <conditionalFormatting sqref="L19:L20">
    <cfRule type="cellIs" dxfId="0" priority="876" operator="equal">
      <formula>"DSR"</formula>
    </cfRule>
    <cfRule type="cellIs" dxfId="1" priority="875" operator="equal">
      <formula>"P"</formula>
    </cfRule>
    <cfRule type="cellIs" dxfId="2" priority="874" operator="equal">
      <formula>"FJ"</formula>
    </cfRule>
    <cfRule type="cellIs" dxfId="3" priority="873" operator="equal">
      <formula>"FI"</formula>
    </cfRule>
    <cfRule type="cellIs" dxfId="4" priority="872" operator="equal">
      <formula>"FE"</formula>
    </cfRule>
    <cfRule type="cellIs" dxfId="5" priority="871" operator="equal">
      <formula>"SC"</formula>
    </cfRule>
    <cfRule type="cellIs" dxfId="6" priority="870" operator="equal">
      <formula>"ET"</formula>
    </cfRule>
  </conditionalFormatting>
  <conditionalFormatting sqref="L83:L84">
    <cfRule type="cellIs" dxfId="0" priority="2108" operator="equal">
      <formula>"DSR"</formula>
    </cfRule>
    <cfRule type="cellIs" dxfId="1" priority="2107" operator="equal">
      <formula>"P"</formula>
    </cfRule>
    <cfRule type="cellIs" dxfId="2" priority="2106" operator="equal">
      <formula>"FJ"</formula>
    </cfRule>
    <cfRule type="cellIs" dxfId="3" priority="2105" operator="equal">
      <formula>"FI"</formula>
    </cfRule>
    <cfRule type="cellIs" dxfId="4" priority="2104" operator="equal">
      <formula>"FE"</formula>
    </cfRule>
    <cfRule type="cellIs" dxfId="5" priority="2103" operator="equal">
      <formula>"SC"</formula>
    </cfRule>
    <cfRule type="cellIs" dxfId="6" priority="2102" operator="equal">
      <formula>"ET"</formula>
    </cfRule>
  </conditionalFormatting>
  <conditionalFormatting sqref="L147:L148">
    <cfRule type="cellIs" dxfId="0" priority="3032" operator="equal">
      <formula>"DSR"</formula>
    </cfRule>
    <cfRule type="cellIs" dxfId="1" priority="3031" operator="equal">
      <formula>"P"</formula>
    </cfRule>
    <cfRule type="cellIs" dxfId="2" priority="3030" operator="equal">
      <formula>"FJ"</formula>
    </cfRule>
    <cfRule type="cellIs" dxfId="3" priority="3029" operator="equal">
      <formula>"FI"</formula>
    </cfRule>
    <cfRule type="cellIs" dxfId="4" priority="3028" operator="equal">
      <formula>"FE"</formula>
    </cfRule>
    <cfRule type="cellIs" dxfId="5" priority="3027" operator="equal">
      <formula>"SC"</formula>
    </cfRule>
    <cfRule type="cellIs" dxfId="6" priority="3026" operator="equal">
      <formula>"ET"</formula>
    </cfRule>
  </conditionalFormatting>
  <conditionalFormatting sqref="M19:M20">
    <cfRule type="cellIs" dxfId="0" priority="869" operator="equal">
      <formula>"DSR"</formula>
    </cfRule>
    <cfRule type="cellIs" dxfId="1" priority="868" operator="equal">
      <formula>"P"</formula>
    </cfRule>
    <cfRule type="cellIs" dxfId="2" priority="867" operator="equal">
      <formula>"FJ"</formula>
    </cfRule>
    <cfRule type="cellIs" dxfId="3" priority="866" operator="equal">
      <formula>"FI"</formula>
    </cfRule>
    <cfRule type="cellIs" dxfId="4" priority="865" operator="equal">
      <formula>"FE"</formula>
    </cfRule>
    <cfRule type="cellIs" dxfId="5" priority="864" operator="equal">
      <formula>"SC"</formula>
    </cfRule>
    <cfRule type="cellIs" dxfId="6" priority="863" operator="equal">
      <formula>"ET"</formula>
    </cfRule>
  </conditionalFormatting>
  <conditionalFormatting sqref="M147:M148">
    <cfRule type="cellIs" dxfId="0" priority="3025" operator="equal">
      <formula>"DSR"</formula>
    </cfRule>
    <cfRule type="cellIs" dxfId="1" priority="3024" operator="equal">
      <formula>"P"</formula>
    </cfRule>
    <cfRule type="cellIs" dxfId="2" priority="3023" operator="equal">
      <formula>"FJ"</formula>
    </cfRule>
    <cfRule type="cellIs" dxfId="3" priority="3022" operator="equal">
      <formula>"FI"</formula>
    </cfRule>
    <cfRule type="cellIs" dxfId="4" priority="3021" operator="equal">
      <formula>"FE"</formula>
    </cfRule>
    <cfRule type="cellIs" dxfId="5" priority="3020" operator="equal">
      <formula>"SC"</formula>
    </cfRule>
    <cfRule type="cellIs" dxfId="6" priority="3019" operator="equal">
      <formula>"ET"</formula>
    </cfRule>
  </conditionalFormatting>
  <conditionalFormatting sqref="N19:N20">
    <cfRule type="cellIs" dxfId="0" priority="862" operator="equal">
      <formula>"DSR"</formula>
    </cfRule>
    <cfRule type="cellIs" dxfId="1" priority="861" operator="equal">
      <formula>"P"</formula>
    </cfRule>
    <cfRule type="cellIs" dxfId="2" priority="860" operator="equal">
      <formula>"FJ"</formula>
    </cfRule>
    <cfRule type="cellIs" dxfId="3" priority="859" operator="equal">
      <formula>"FI"</formula>
    </cfRule>
    <cfRule type="cellIs" dxfId="4" priority="858" operator="equal">
      <formula>"FE"</formula>
    </cfRule>
    <cfRule type="cellIs" dxfId="5" priority="857" operator="equal">
      <formula>"SC"</formula>
    </cfRule>
    <cfRule type="cellIs" dxfId="6" priority="856" operator="equal">
      <formula>"ET"</formula>
    </cfRule>
  </conditionalFormatting>
  <conditionalFormatting sqref="N147:N148">
    <cfRule type="cellIs" dxfId="0" priority="3018" operator="equal">
      <formula>"DSR"</formula>
    </cfRule>
    <cfRule type="cellIs" dxfId="1" priority="3017" operator="equal">
      <formula>"P"</formula>
    </cfRule>
    <cfRule type="cellIs" dxfId="2" priority="3016" operator="equal">
      <formula>"FJ"</formula>
    </cfRule>
    <cfRule type="cellIs" dxfId="3" priority="3015" operator="equal">
      <formula>"FI"</formula>
    </cfRule>
    <cfRule type="cellIs" dxfId="4" priority="3014" operator="equal">
      <formula>"FE"</formula>
    </cfRule>
    <cfRule type="cellIs" dxfId="5" priority="3013" operator="equal">
      <formula>"SC"</formula>
    </cfRule>
    <cfRule type="cellIs" dxfId="6" priority="3012" operator="equal">
      <formula>"ET"</formula>
    </cfRule>
  </conditionalFormatting>
  <conditionalFormatting sqref="O19:O20">
    <cfRule type="cellIs" dxfId="0" priority="855" operator="equal">
      <formula>"DSR"</formula>
    </cfRule>
    <cfRule type="cellIs" dxfId="1" priority="854" operator="equal">
      <formula>"P"</formula>
    </cfRule>
    <cfRule type="cellIs" dxfId="2" priority="853" operator="equal">
      <formula>"FJ"</formula>
    </cfRule>
    <cfRule type="cellIs" dxfId="3" priority="852" operator="equal">
      <formula>"FI"</formula>
    </cfRule>
    <cfRule type="cellIs" dxfId="4" priority="851" operator="equal">
      <formula>"FE"</formula>
    </cfRule>
    <cfRule type="cellIs" dxfId="5" priority="850" operator="equal">
      <formula>"SC"</formula>
    </cfRule>
    <cfRule type="cellIs" dxfId="6" priority="849" operator="equal">
      <formula>"ET"</formula>
    </cfRule>
  </conditionalFormatting>
  <conditionalFormatting sqref="O83:O84">
    <cfRule type="cellIs" dxfId="0" priority="2101" operator="equal">
      <formula>"DSR"</formula>
    </cfRule>
    <cfRule type="cellIs" dxfId="1" priority="2100" operator="equal">
      <formula>"P"</formula>
    </cfRule>
    <cfRule type="cellIs" dxfId="2" priority="2099" operator="equal">
      <formula>"FJ"</formula>
    </cfRule>
    <cfRule type="cellIs" dxfId="3" priority="2098" operator="equal">
      <formula>"FI"</formula>
    </cfRule>
    <cfRule type="cellIs" dxfId="4" priority="2097" operator="equal">
      <formula>"FE"</formula>
    </cfRule>
    <cfRule type="cellIs" dxfId="5" priority="2096" operator="equal">
      <formula>"SC"</formula>
    </cfRule>
    <cfRule type="cellIs" dxfId="6" priority="2095" operator="equal">
      <formula>"ET"</formula>
    </cfRule>
  </conditionalFormatting>
  <conditionalFormatting sqref="O147:O148">
    <cfRule type="cellIs" dxfId="0" priority="3011" operator="equal">
      <formula>"DSR"</formula>
    </cfRule>
    <cfRule type="cellIs" dxfId="1" priority="3010" operator="equal">
      <formula>"P"</formula>
    </cfRule>
    <cfRule type="cellIs" dxfId="2" priority="3009" operator="equal">
      <formula>"FJ"</formula>
    </cfRule>
    <cfRule type="cellIs" dxfId="3" priority="3008" operator="equal">
      <formula>"FI"</formula>
    </cfRule>
    <cfRule type="cellIs" dxfId="4" priority="3007" operator="equal">
      <formula>"FE"</formula>
    </cfRule>
    <cfRule type="cellIs" dxfId="5" priority="3006" operator="equal">
      <formula>"SC"</formula>
    </cfRule>
    <cfRule type="cellIs" dxfId="6" priority="3005" operator="equal">
      <formula>"ET"</formula>
    </cfRule>
  </conditionalFormatting>
  <conditionalFormatting sqref="AB9:AB27">
    <cfRule type="cellIs" dxfId="0" priority="652" operator="equal">
      <formula>"DSR"</formula>
    </cfRule>
    <cfRule type="cellIs" dxfId="1" priority="651" operator="equal">
      <formula>"P"</formula>
    </cfRule>
    <cfRule type="cellIs" dxfId="2" priority="650" operator="equal">
      <formula>"FJ"</formula>
    </cfRule>
    <cfRule type="cellIs" dxfId="3" priority="649" operator="equal">
      <formula>"FI"</formula>
    </cfRule>
    <cfRule type="cellIs" dxfId="4" priority="648" operator="equal">
      <formula>"FE"</formula>
    </cfRule>
    <cfRule type="cellIs" dxfId="5" priority="647" operator="equal">
      <formula>"SC"</formula>
    </cfRule>
    <cfRule type="cellIs" dxfId="6" priority="646" operator="equal">
      <formula>"ET"</formula>
    </cfRule>
  </conditionalFormatting>
  <conditionalFormatting sqref="AB28:AB42">
    <cfRule type="cellIs" dxfId="0" priority="645" operator="equal">
      <formula>"DSR"</formula>
    </cfRule>
    <cfRule type="cellIs" dxfId="1" priority="644" operator="equal">
      <formula>"P"</formula>
    </cfRule>
    <cfRule type="cellIs" dxfId="2" priority="643" operator="equal">
      <formula>"FJ"</formula>
    </cfRule>
    <cfRule type="cellIs" dxfId="3" priority="642" operator="equal">
      <formula>"FI"</formula>
    </cfRule>
    <cfRule type="cellIs" dxfId="4" priority="641" operator="equal">
      <formula>"FE"</formula>
    </cfRule>
    <cfRule type="cellIs" dxfId="5" priority="640" operator="equal">
      <formula>"SC"</formula>
    </cfRule>
    <cfRule type="cellIs" dxfId="6" priority="639" operator="equal">
      <formula>"ET"</formula>
    </cfRule>
  </conditionalFormatting>
  <conditionalFormatting sqref="AB46:AB50">
    <cfRule type="cellIs" dxfId="0" priority="638" operator="equal">
      <formula>"DSR"</formula>
    </cfRule>
    <cfRule type="cellIs" dxfId="1" priority="637" operator="equal">
      <formula>"P"</formula>
    </cfRule>
    <cfRule type="cellIs" dxfId="2" priority="636" operator="equal">
      <formula>"FJ"</formula>
    </cfRule>
    <cfRule type="cellIs" dxfId="3" priority="635" operator="equal">
      <formula>"FI"</formula>
    </cfRule>
    <cfRule type="cellIs" dxfId="4" priority="634" operator="equal">
      <formula>"FE"</formula>
    </cfRule>
    <cfRule type="cellIs" dxfId="5" priority="633" operator="equal">
      <formula>"SC"</formula>
    </cfRule>
    <cfRule type="cellIs" dxfId="6" priority="632" operator="equal">
      <formula>"ET"</formula>
    </cfRule>
  </conditionalFormatting>
  <conditionalFormatting sqref="AB52:AB53">
    <cfRule type="cellIs" dxfId="0" priority="631" operator="equal">
      <formula>"DSR"</formula>
    </cfRule>
    <cfRule type="cellIs" dxfId="1" priority="630" operator="equal">
      <formula>"P"</formula>
    </cfRule>
    <cfRule type="cellIs" dxfId="2" priority="629" operator="equal">
      <formula>"FJ"</formula>
    </cfRule>
    <cfRule type="cellIs" dxfId="3" priority="628" operator="equal">
      <formula>"FI"</formula>
    </cfRule>
    <cfRule type="cellIs" dxfId="4" priority="627" operator="equal">
      <formula>"FE"</formula>
    </cfRule>
    <cfRule type="cellIs" dxfId="5" priority="626" operator="equal">
      <formula>"SC"</formula>
    </cfRule>
    <cfRule type="cellIs" dxfId="6" priority="625" operator="equal">
      <formula>"ET"</formula>
    </cfRule>
  </conditionalFormatting>
  <conditionalFormatting sqref="AB157:AB171">
    <cfRule type="cellIs" dxfId="0" priority="2794" operator="equal">
      <formula>"DSR"</formula>
    </cfRule>
    <cfRule type="cellIs" dxfId="1" priority="2793" operator="equal">
      <formula>"P"</formula>
    </cfRule>
    <cfRule type="cellIs" dxfId="2" priority="2792" operator="equal">
      <formula>"FJ"</formula>
    </cfRule>
    <cfRule type="cellIs" dxfId="3" priority="2791" operator="equal">
      <formula>"FI"</formula>
    </cfRule>
    <cfRule type="cellIs" dxfId="4" priority="2790" operator="equal">
      <formula>"FE"</formula>
    </cfRule>
    <cfRule type="cellIs" dxfId="5" priority="2789" operator="equal">
      <formula>"SC"</formula>
    </cfRule>
    <cfRule type="cellIs" dxfId="6" priority="2788" operator="equal">
      <formula>"ET"</formula>
    </cfRule>
  </conditionalFormatting>
  <conditionalFormatting sqref="AB174:AB179">
    <cfRule type="cellIs" dxfId="0" priority="2787" operator="equal">
      <formula>"DSR"</formula>
    </cfRule>
    <cfRule type="cellIs" dxfId="1" priority="2786" operator="equal">
      <formula>"P"</formula>
    </cfRule>
    <cfRule type="cellIs" dxfId="2" priority="2785" operator="equal">
      <formula>"FJ"</formula>
    </cfRule>
    <cfRule type="cellIs" dxfId="3" priority="2784" operator="equal">
      <formula>"FI"</formula>
    </cfRule>
    <cfRule type="cellIs" dxfId="4" priority="2783" operator="equal">
      <formula>"FE"</formula>
    </cfRule>
    <cfRule type="cellIs" dxfId="5" priority="2782" operator="equal">
      <formula>"SC"</formula>
    </cfRule>
    <cfRule type="cellIs" dxfId="6" priority="2781" operator="equal">
      <formula>"ET"</formula>
    </cfRule>
  </conditionalFormatting>
  <conditionalFormatting sqref="AB181:AB182">
    <cfRule type="cellIs" dxfId="0" priority="2780" operator="equal">
      <formula>"DSR"</formula>
    </cfRule>
    <cfRule type="cellIs" dxfId="1" priority="2779" operator="equal">
      <formula>"P"</formula>
    </cfRule>
    <cfRule type="cellIs" dxfId="2" priority="2778" operator="equal">
      <formula>"FJ"</formula>
    </cfRule>
    <cfRule type="cellIs" dxfId="3" priority="2777" operator="equal">
      <formula>"FI"</formula>
    </cfRule>
    <cfRule type="cellIs" dxfId="4" priority="2776" operator="equal">
      <formula>"FE"</formula>
    </cfRule>
    <cfRule type="cellIs" dxfId="5" priority="2775" operator="equal">
      <formula>"SC"</formula>
    </cfRule>
    <cfRule type="cellIs" dxfId="6" priority="2774" operator="equal">
      <formula>"ET"</formula>
    </cfRule>
  </conditionalFormatting>
  <conditionalFormatting sqref="AC9:AC42">
    <cfRule type="cellIs" dxfId="0" priority="673" operator="equal">
      <formula>"DSR"</formula>
    </cfRule>
    <cfRule type="cellIs" dxfId="1" priority="672" operator="equal">
      <formula>"P"</formula>
    </cfRule>
    <cfRule type="cellIs" dxfId="2" priority="671" operator="equal">
      <formula>"FJ"</formula>
    </cfRule>
    <cfRule type="cellIs" dxfId="3" priority="670" operator="equal">
      <formula>"FI"</formula>
    </cfRule>
    <cfRule type="cellIs" dxfId="4" priority="669" operator="equal">
      <formula>"FE"</formula>
    </cfRule>
    <cfRule type="cellIs" dxfId="5" priority="668" operator="equal">
      <formula>"SC"</formula>
    </cfRule>
    <cfRule type="cellIs" dxfId="6" priority="667" operator="equal">
      <formula>"ET"</formula>
    </cfRule>
  </conditionalFormatting>
  <conditionalFormatting sqref="AC46:AC50">
    <cfRule type="cellIs" dxfId="0" priority="666" operator="equal">
      <formula>"DSR"</formula>
    </cfRule>
    <cfRule type="cellIs" dxfId="1" priority="665" operator="equal">
      <formula>"P"</formula>
    </cfRule>
    <cfRule type="cellIs" dxfId="2" priority="664" operator="equal">
      <formula>"FJ"</formula>
    </cfRule>
    <cfRule type="cellIs" dxfId="3" priority="663" operator="equal">
      <formula>"FI"</formula>
    </cfRule>
    <cfRule type="cellIs" dxfId="4" priority="662" operator="equal">
      <formula>"FE"</formula>
    </cfRule>
    <cfRule type="cellIs" dxfId="5" priority="661" operator="equal">
      <formula>"SC"</formula>
    </cfRule>
    <cfRule type="cellIs" dxfId="6" priority="660" operator="equal">
      <formula>"ET"</formula>
    </cfRule>
  </conditionalFormatting>
  <conditionalFormatting sqref="AC52:AC53">
    <cfRule type="cellIs" dxfId="0" priority="659" operator="equal">
      <formula>"DSR"</formula>
    </cfRule>
    <cfRule type="cellIs" dxfId="1" priority="658" operator="equal">
      <formula>"P"</formula>
    </cfRule>
    <cfRule type="cellIs" dxfId="2" priority="657" operator="equal">
      <formula>"FJ"</formula>
    </cfRule>
    <cfRule type="cellIs" dxfId="3" priority="656" operator="equal">
      <formula>"FI"</formula>
    </cfRule>
    <cfRule type="cellIs" dxfId="4" priority="655" operator="equal">
      <formula>"FE"</formula>
    </cfRule>
    <cfRule type="cellIs" dxfId="5" priority="654" operator="equal">
      <formula>"SC"</formula>
    </cfRule>
    <cfRule type="cellIs" dxfId="6" priority="653" operator="equal">
      <formula>"ET"</formula>
    </cfRule>
  </conditionalFormatting>
  <conditionalFormatting sqref="AC73:AC105">
    <cfRule type="cellIs" dxfId="0" priority="1933" operator="equal">
      <formula>"DSR"</formula>
    </cfRule>
    <cfRule type="cellIs" dxfId="1" priority="1932" operator="equal">
      <formula>"P"</formula>
    </cfRule>
    <cfRule type="cellIs" dxfId="2" priority="1931" operator="equal">
      <formula>"FJ"</formula>
    </cfRule>
    <cfRule type="cellIs" dxfId="3" priority="1930" operator="equal">
      <formula>"FI"</formula>
    </cfRule>
    <cfRule type="cellIs" dxfId="4" priority="1929" operator="equal">
      <formula>"FE"</formula>
    </cfRule>
    <cfRule type="cellIs" dxfId="5" priority="1928" operator="equal">
      <formula>"SC"</formula>
    </cfRule>
    <cfRule type="cellIs" dxfId="6" priority="1927" operator="equal">
      <formula>"ET"</formula>
    </cfRule>
  </conditionalFormatting>
  <conditionalFormatting sqref="AC109:AC113">
    <cfRule type="cellIs" dxfId="0" priority="1926" operator="equal">
      <formula>"DSR"</formula>
    </cfRule>
    <cfRule type="cellIs" dxfId="1" priority="1925" operator="equal">
      <formula>"P"</formula>
    </cfRule>
    <cfRule type="cellIs" dxfId="2" priority="1924" operator="equal">
      <formula>"FJ"</formula>
    </cfRule>
    <cfRule type="cellIs" dxfId="3" priority="1923" operator="equal">
      <formula>"FI"</formula>
    </cfRule>
    <cfRule type="cellIs" dxfId="4" priority="1922" operator="equal">
      <formula>"FE"</formula>
    </cfRule>
    <cfRule type="cellIs" dxfId="5" priority="1921" operator="equal">
      <formula>"SC"</formula>
    </cfRule>
    <cfRule type="cellIs" dxfId="6" priority="1920" operator="equal">
      <formula>"ET"</formula>
    </cfRule>
  </conditionalFormatting>
  <conditionalFormatting sqref="AC115:AC116">
    <cfRule type="cellIs" dxfId="0" priority="1919" operator="equal">
      <formula>"DSR"</formula>
    </cfRule>
    <cfRule type="cellIs" dxfId="1" priority="1918" operator="equal">
      <formula>"P"</formula>
    </cfRule>
    <cfRule type="cellIs" dxfId="2" priority="1917" operator="equal">
      <formula>"FJ"</formula>
    </cfRule>
    <cfRule type="cellIs" dxfId="3" priority="1916" operator="equal">
      <formula>"FI"</formula>
    </cfRule>
    <cfRule type="cellIs" dxfId="4" priority="1915" operator="equal">
      <formula>"FE"</formula>
    </cfRule>
    <cfRule type="cellIs" dxfId="5" priority="1914" operator="equal">
      <formula>"SC"</formula>
    </cfRule>
    <cfRule type="cellIs" dxfId="6" priority="1913" operator="equal">
      <formula>"ET"</formula>
    </cfRule>
  </conditionalFormatting>
  <conditionalFormatting sqref="AC139:AC141">
    <cfRule type="cellIs" dxfId="0" priority="147" operator="equal">
      <formula>"DSR"</formula>
    </cfRule>
    <cfRule type="cellIs" dxfId="1" priority="146" operator="equal">
      <formula>"P"</formula>
    </cfRule>
    <cfRule type="cellIs" dxfId="2" priority="145" operator="equal">
      <formula>"FJ"</formula>
    </cfRule>
    <cfRule type="cellIs" dxfId="3" priority="144" operator="equal">
      <formula>"FI"</formula>
    </cfRule>
    <cfRule type="cellIs" dxfId="4" priority="143" operator="equal">
      <formula>"FE"</formula>
    </cfRule>
    <cfRule type="cellIs" dxfId="5" priority="142" operator="equal">
      <formula>"SC"</formula>
    </cfRule>
    <cfRule type="cellIs" dxfId="6" priority="141" operator="equal">
      <formula>"ET"</formula>
    </cfRule>
  </conditionalFormatting>
  <conditionalFormatting sqref="AC149:AC151">
    <cfRule type="cellIs" dxfId="0" priority="126" operator="equal">
      <formula>"DSR"</formula>
    </cfRule>
    <cfRule type="cellIs" dxfId="1" priority="125" operator="equal">
      <formula>"P"</formula>
    </cfRule>
    <cfRule type="cellIs" dxfId="2" priority="124" operator="equal">
      <formula>"FJ"</formula>
    </cfRule>
    <cfRule type="cellIs" dxfId="3" priority="123" operator="equal">
      <formula>"FI"</formula>
    </cfRule>
    <cfRule type="cellIs" dxfId="4" priority="122" operator="equal">
      <formula>"FE"</formula>
    </cfRule>
    <cfRule type="cellIs" dxfId="5" priority="121" operator="equal">
      <formula>"SC"</formula>
    </cfRule>
    <cfRule type="cellIs" dxfId="6" priority="120" operator="equal">
      <formula>"ET"</formula>
    </cfRule>
  </conditionalFormatting>
  <conditionalFormatting sqref="AC156:AC157">
    <cfRule type="cellIs" dxfId="0" priority="112" operator="equal">
      <formula>"DSR"</formula>
    </cfRule>
    <cfRule type="cellIs" dxfId="1" priority="111" operator="equal">
      <formula>"P"</formula>
    </cfRule>
    <cfRule type="cellIs" dxfId="2" priority="110" operator="equal">
      <formula>"FJ"</formula>
    </cfRule>
    <cfRule type="cellIs" dxfId="3" priority="109" operator="equal">
      <formula>"FI"</formula>
    </cfRule>
    <cfRule type="cellIs" dxfId="4" priority="108" operator="equal">
      <formula>"FE"</formula>
    </cfRule>
    <cfRule type="cellIs" dxfId="5" priority="107" operator="equal">
      <formula>"SC"</formula>
    </cfRule>
    <cfRule type="cellIs" dxfId="6" priority="106" operator="equal">
      <formula>"ET"</formula>
    </cfRule>
  </conditionalFormatting>
  <conditionalFormatting sqref="AC167:AC168">
    <cfRule type="cellIs" dxfId="0" priority="98" operator="equal">
      <formula>"DSR"</formula>
    </cfRule>
    <cfRule type="cellIs" dxfId="1" priority="97" operator="equal">
      <formula>"P"</formula>
    </cfRule>
    <cfRule type="cellIs" dxfId="2" priority="96" operator="equal">
      <formula>"FJ"</formula>
    </cfRule>
    <cfRule type="cellIs" dxfId="3" priority="95" operator="equal">
      <formula>"FI"</formula>
    </cfRule>
    <cfRule type="cellIs" dxfId="4" priority="94" operator="equal">
      <formula>"FE"</formula>
    </cfRule>
    <cfRule type="cellIs" dxfId="5" priority="93" operator="equal">
      <formula>"SC"</formula>
    </cfRule>
    <cfRule type="cellIs" dxfId="6" priority="92" operator="equal">
      <formula>"ET"</formula>
    </cfRule>
  </conditionalFormatting>
  <conditionalFormatting sqref="AE3:AE53">
    <cfRule type="cellIs" dxfId="0" priority="190" operator="equal">
      <formula>"DSR"</formula>
    </cfRule>
    <cfRule type="cellIs" dxfId="1" priority="189" operator="equal">
      <formula>"P"</formula>
    </cfRule>
    <cfRule type="cellIs" dxfId="2" priority="188" operator="equal">
      <formula>"FJ"</formula>
    </cfRule>
    <cfRule type="cellIs" dxfId="3" priority="187" operator="equal">
      <formula>"FI"</formula>
    </cfRule>
    <cfRule type="cellIs" dxfId="4" priority="186" operator="equal">
      <formula>"FE"</formula>
    </cfRule>
    <cfRule type="cellIs" dxfId="5" priority="185" operator="equal">
      <formula>"SC"</formula>
    </cfRule>
    <cfRule type="cellIs" dxfId="6" priority="184" operator="equal">
      <formula>"ET"</formula>
    </cfRule>
  </conditionalFormatting>
  <conditionalFormatting sqref="AH69:AH116">
    <cfRule type="cellIs" dxfId="0" priority="246" operator="equal">
      <formula>"DSR"</formula>
    </cfRule>
    <cfRule type="cellIs" dxfId="1" priority="245" operator="equal">
      <formula>"P"</formula>
    </cfRule>
    <cfRule type="cellIs" dxfId="2" priority="244" operator="equal">
      <formula>"FJ"</formula>
    </cfRule>
    <cfRule type="cellIs" dxfId="3" priority="243" operator="equal">
      <formula>"FI"</formula>
    </cfRule>
    <cfRule type="cellIs" dxfId="4" priority="242" operator="equal">
      <formula>"FE"</formula>
    </cfRule>
    <cfRule type="cellIs" dxfId="5" priority="241" operator="equal">
      <formula>"SC"</formula>
    </cfRule>
    <cfRule type="cellIs" dxfId="6" priority="240" operator="equal">
      <formula>"ET"</formula>
    </cfRule>
  </conditionalFormatting>
  <conditionalFormatting sqref="F3:G5">
    <cfRule type="cellIs" dxfId="0" priority="617" operator="equal">
      <formula>"DSR"</formula>
    </cfRule>
    <cfRule type="cellIs" dxfId="1" priority="616" operator="equal">
      <formula>"P"</formula>
    </cfRule>
    <cfRule type="cellIs" dxfId="2" priority="615" operator="equal">
      <formula>"FJ"</formula>
    </cfRule>
    <cfRule type="cellIs" dxfId="3" priority="614" operator="equal">
      <formula>"FI"</formula>
    </cfRule>
    <cfRule type="cellIs" dxfId="4" priority="613" operator="equal">
      <formula>"FE"</formula>
    </cfRule>
    <cfRule type="cellIs" dxfId="5" priority="612" operator="equal">
      <formula>"SC"</formula>
    </cfRule>
    <cfRule type="cellIs" dxfId="6" priority="611" operator="equal">
      <formula>"ET"</formula>
    </cfRule>
  </conditionalFormatting>
  <conditionalFormatting sqref="H3:I3;L3:P3;S3:W3">
    <cfRule type="cellIs" dxfId="0" priority="337" operator="equal">
      <formula>"DSR"</formula>
    </cfRule>
    <cfRule type="cellIs" dxfId="1" priority="336" operator="equal">
      <formula>"P"</formula>
    </cfRule>
    <cfRule type="cellIs" dxfId="2" priority="335" operator="equal">
      <formula>"FJ"</formula>
    </cfRule>
    <cfRule type="cellIs" dxfId="3" priority="334" operator="equal">
      <formula>"FI"</formula>
    </cfRule>
    <cfRule type="cellIs" dxfId="4" priority="333" operator="equal">
      <formula>"FE"</formula>
    </cfRule>
    <cfRule type="cellIs" dxfId="5" priority="332" operator="equal">
      <formula>"SC"</formula>
    </cfRule>
    <cfRule type="cellIs" dxfId="6" priority="331" operator="equal">
      <formula>"ET"</formula>
    </cfRule>
  </conditionalFormatting>
  <conditionalFormatting sqref="J3:K53">
    <cfRule type="cellIs" dxfId="0" priority="211" operator="equal">
      <formula>"DSR"</formula>
    </cfRule>
    <cfRule type="cellIs" dxfId="1" priority="210" operator="equal">
      <formula>"P"</formula>
    </cfRule>
    <cfRule type="cellIs" dxfId="2" priority="209" operator="equal">
      <formula>"FJ"</formula>
    </cfRule>
    <cfRule type="cellIs" dxfId="3" priority="208" operator="equal">
      <formula>"FI"</formula>
    </cfRule>
    <cfRule type="cellIs" dxfId="4" priority="207" operator="equal">
      <formula>"FE"</formula>
    </cfRule>
    <cfRule type="cellIs" dxfId="5" priority="206" operator="equal">
      <formula>"SC"</formula>
    </cfRule>
    <cfRule type="cellIs" dxfId="6" priority="205" operator="equal">
      <formula>"ET"</formula>
    </cfRule>
  </conditionalFormatting>
  <conditionalFormatting sqref="Q3:R53">
    <cfRule type="cellIs" dxfId="0" priority="204" operator="equal">
      <formula>"DSR"</formula>
    </cfRule>
    <cfRule type="cellIs" dxfId="1" priority="203" operator="equal">
      <formula>"P"</formula>
    </cfRule>
    <cfRule type="cellIs" dxfId="2" priority="202" operator="equal">
      <formula>"FJ"</formula>
    </cfRule>
    <cfRule type="cellIs" dxfId="3" priority="201" operator="equal">
      <formula>"FI"</formula>
    </cfRule>
    <cfRule type="cellIs" dxfId="4" priority="200" operator="equal">
      <formula>"FE"</formula>
    </cfRule>
    <cfRule type="cellIs" dxfId="5" priority="199" operator="equal">
      <formula>"SC"</formula>
    </cfRule>
    <cfRule type="cellIs" dxfId="6" priority="198" operator="equal">
      <formula>"ET"</formula>
    </cfRule>
  </conditionalFormatting>
  <conditionalFormatting sqref="X3:Y53">
    <cfRule type="cellIs" dxfId="0" priority="197" operator="equal">
      <formula>"DSR"</formula>
    </cfRule>
    <cfRule type="cellIs" dxfId="1" priority="196" operator="equal">
      <formula>"P"</formula>
    </cfRule>
    <cfRule type="cellIs" dxfId="2" priority="195" operator="equal">
      <formula>"FJ"</formula>
    </cfRule>
    <cfRule type="cellIs" dxfId="3" priority="194" operator="equal">
      <formula>"FI"</formula>
    </cfRule>
    <cfRule type="cellIs" dxfId="4" priority="193" operator="equal">
      <formula>"FE"</formula>
    </cfRule>
    <cfRule type="cellIs" dxfId="5" priority="192" operator="equal">
      <formula>"SC"</formula>
    </cfRule>
    <cfRule type="cellIs" dxfId="6" priority="191" operator="equal">
      <formula>"ET"</formula>
    </cfRule>
  </conditionalFormatting>
  <conditionalFormatting sqref="Z3:AD3;AF3:AH3">
    <cfRule type="cellIs" dxfId="0" priority="330" operator="equal">
      <formula>"DSR"</formula>
    </cfRule>
    <cfRule type="cellIs" dxfId="1" priority="329" operator="equal">
      <formula>"P"</formula>
    </cfRule>
    <cfRule type="cellIs" dxfId="2" priority="328" operator="equal">
      <formula>"FJ"</formula>
    </cfRule>
    <cfRule type="cellIs" dxfId="3" priority="327" operator="equal">
      <formula>"FI"</formula>
    </cfRule>
    <cfRule type="cellIs" dxfId="4" priority="326" operator="equal">
      <formula>"FE"</formula>
    </cfRule>
    <cfRule type="cellIs" dxfId="5" priority="325" operator="equal">
      <formula>"SC"</formula>
    </cfRule>
    <cfRule type="cellIs" dxfId="6" priority="324" operator="equal">
      <formula>"ET"</formula>
    </cfRule>
  </conditionalFormatting>
  <conditionalFormatting sqref="H9:I11;L9:O11;D54:O56;H53:I53;L53:O53;Q54:AH56;S53:W53;Z52:AA53;AD52:AD53;AF50:AH53;U52:W52;W51;Z51:AD51;S51:U51;D57:AH57;H51;L51:O51;AD50;U50:W50;Z50:AA50;U27:W36;Z21:AA36;S24:W26;U22:W23;AD21:AD36;AF21:AH36;S21:W21;U20:V20;L26:O26;L21:O21;H26;H20:H21;U18:W19;Z9:AA19;S17:W17;U16:W16;S15:W15;U14:W14;T13:W13;U12:W12;AD9:AD19;AF4:AH19;S9:W11;U4:W8;Z4:AD8;H19:I19;H17:I17;L17:O17;H15:I15;L15:O15">
    <cfRule type="cellIs" dxfId="0" priority="1583" operator="equal">
      <formula>"DSR"</formula>
    </cfRule>
    <cfRule type="cellIs" dxfId="1" priority="1582" operator="equal">
      <formula>"P"</formula>
    </cfRule>
    <cfRule type="cellIs" dxfId="2" priority="1581" operator="equal">
      <formula>"FJ"</formula>
    </cfRule>
    <cfRule type="cellIs" dxfId="3" priority="1580" operator="equal">
      <formula>"FI"</formula>
    </cfRule>
    <cfRule type="cellIs" dxfId="4" priority="1579" operator="equal">
      <formula>"FE"</formula>
    </cfRule>
    <cfRule type="cellIs" dxfId="5" priority="1578" operator="equal">
      <formula>"SC"</formula>
    </cfRule>
    <cfRule type="cellIs" dxfId="6" priority="1577" operator="equal">
      <formula>"ET"</formula>
    </cfRule>
  </conditionalFormatting>
  <conditionalFormatting sqref="H4:I4;L4:O4;S4:T4">
    <cfRule type="cellIs" dxfId="0" priority="1401" operator="equal">
      <formula>"DSR"</formula>
    </cfRule>
    <cfRule type="cellIs" dxfId="1" priority="1400" operator="equal">
      <formula>"P"</formula>
    </cfRule>
    <cfRule type="cellIs" dxfId="2" priority="1399" operator="equal">
      <formula>"FJ"</formula>
    </cfRule>
    <cfRule type="cellIs" dxfId="3" priority="1398" operator="equal">
      <formula>"FI"</formula>
    </cfRule>
    <cfRule type="cellIs" dxfId="4" priority="1397" operator="equal">
      <formula>"FE"</formula>
    </cfRule>
    <cfRule type="cellIs" dxfId="5" priority="1396" operator="equal">
      <formula>"SC"</formula>
    </cfRule>
    <cfRule type="cellIs" dxfId="6" priority="1395" operator="equal">
      <formula>"ET"</formula>
    </cfRule>
  </conditionalFormatting>
  <conditionalFormatting sqref="H5:I5;L5:O5">
    <cfRule type="cellIs" dxfId="0" priority="1065" operator="equal">
      <formula>"DSR"</formula>
    </cfRule>
    <cfRule type="cellIs" dxfId="1" priority="1064" operator="equal">
      <formula>"P"</formula>
    </cfRule>
    <cfRule type="cellIs" dxfId="2" priority="1063" operator="equal">
      <formula>"FJ"</formula>
    </cfRule>
    <cfRule type="cellIs" dxfId="3" priority="1062" operator="equal">
      <formula>"FI"</formula>
    </cfRule>
    <cfRule type="cellIs" dxfId="4" priority="1061" operator="equal">
      <formula>"FE"</formula>
    </cfRule>
    <cfRule type="cellIs" dxfId="5" priority="1060" operator="equal">
      <formula>"SC"</formula>
    </cfRule>
    <cfRule type="cellIs" dxfId="6" priority="1059" operator="equal">
      <formula>"ET"</formula>
    </cfRule>
  </conditionalFormatting>
  <conditionalFormatting sqref="E6:E7;E9:E40">
    <cfRule type="cellIs" dxfId="0" priority="533" operator="equal">
      <formula>"DSR"</formula>
    </cfRule>
    <cfRule type="cellIs" dxfId="1" priority="532" operator="equal">
      <formula>"P"</formula>
    </cfRule>
    <cfRule type="cellIs" dxfId="2" priority="531" operator="equal">
      <formula>"FJ"</formula>
    </cfRule>
    <cfRule type="cellIs" dxfId="3" priority="530" operator="equal">
      <formula>"FI"</formula>
    </cfRule>
    <cfRule type="cellIs" dxfId="4" priority="529" operator="equal">
      <formula>"FE"</formula>
    </cfRule>
    <cfRule type="cellIs" dxfId="5" priority="528" operator="equal">
      <formula>"SC"</formula>
    </cfRule>
    <cfRule type="cellIs" dxfId="6" priority="527" operator="equal">
      <formula>"ET"</formula>
    </cfRule>
  </conditionalFormatting>
  <conditionalFormatting sqref="F18:G33;F9:G16;F6:G7">
    <cfRule type="cellIs" dxfId="0" priority="596" operator="equal">
      <formula>"DSR"</formula>
    </cfRule>
    <cfRule type="cellIs" dxfId="1" priority="595" operator="equal">
      <formula>"P"</formula>
    </cfRule>
    <cfRule type="cellIs" dxfId="2" priority="594" operator="equal">
      <formula>"FJ"</formula>
    </cfRule>
    <cfRule type="cellIs" dxfId="3" priority="593" operator="equal">
      <formula>"FI"</formula>
    </cfRule>
    <cfRule type="cellIs" dxfId="4" priority="592" operator="equal">
      <formula>"FE"</formula>
    </cfRule>
    <cfRule type="cellIs" dxfId="5" priority="591" operator="equal">
      <formula>"SC"</formula>
    </cfRule>
    <cfRule type="cellIs" dxfId="6" priority="590" operator="equal">
      <formula>"ET"</formula>
    </cfRule>
  </conditionalFormatting>
  <conditionalFormatting sqref="H6:I6;L6:O6;S6:T6">
    <cfRule type="cellIs" dxfId="0" priority="1387" operator="equal">
      <formula>"DSR"</formula>
    </cfRule>
    <cfRule type="cellIs" dxfId="1" priority="1386" operator="equal">
      <formula>"P"</formula>
    </cfRule>
    <cfRule type="cellIs" dxfId="2" priority="1385" operator="equal">
      <formula>"FJ"</formula>
    </cfRule>
    <cfRule type="cellIs" dxfId="3" priority="1384" operator="equal">
      <formula>"FI"</formula>
    </cfRule>
    <cfRule type="cellIs" dxfId="4" priority="1383" operator="equal">
      <formula>"FE"</formula>
    </cfRule>
    <cfRule type="cellIs" dxfId="5" priority="1382" operator="equal">
      <formula>"SC"</formula>
    </cfRule>
    <cfRule type="cellIs" dxfId="6" priority="1381" operator="equal">
      <formula>"ET"</formula>
    </cfRule>
  </conditionalFormatting>
  <conditionalFormatting sqref="H7:I7;L7:O7;S7:T7">
    <cfRule type="cellIs" dxfId="0" priority="1373" operator="equal">
      <formula>"DSR"</formula>
    </cfRule>
    <cfRule type="cellIs" dxfId="1" priority="1372" operator="equal">
      <formula>"P"</formula>
    </cfRule>
    <cfRule type="cellIs" dxfId="2" priority="1371" operator="equal">
      <formula>"FJ"</formula>
    </cfRule>
    <cfRule type="cellIs" dxfId="3" priority="1370" operator="equal">
      <formula>"FI"</formula>
    </cfRule>
    <cfRule type="cellIs" dxfId="4" priority="1369" operator="equal">
      <formula>"FE"</formula>
    </cfRule>
    <cfRule type="cellIs" dxfId="5" priority="1368" operator="equal">
      <formula>"SC"</formula>
    </cfRule>
    <cfRule type="cellIs" dxfId="6" priority="1367" operator="equal">
      <formula>"ET"</formula>
    </cfRule>
  </conditionalFormatting>
  <conditionalFormatting sqref="H8:I8;L8:O8;S8:T8">
    <cfRule type="cellIs" dxfId="0" priority="1359" operator="equal">
      <formula>"DSR"</formula>
    </cfRule>
    <cfRule type="cellIs" dxfId="1" priority="1358" operator="equal">
      <formula>"P"</formula>
    </cfRule>
    <cfRule type="cellIs" dxfId="2" priority="1357" operator="equal">
      <formula>"FJ"</formula>
    </cfRule>
    <cfRule type="cellIs" dxfId="3" priority="1356" operator="equal">
      <formula>"FI"</formula>
    </cfRule>
    <cfRule type="cellIs" dxfId="4" priority="1355" operator="equal">
      <formula>"FE"</formula>
    </cfRule>
    <cfRule type="cellIs" dxfId="5" priority="1354" operator="equal">
      <formula>"SC"</formula>
    </cfRule>
    <cfRule type="cellIs" dxfId="6" priority="1353" operator="equal">
      <formula>"ET"</formula>
    </cfRule>
  </conditionalFormatting>
  <conditionalFormatting sqref="P9:P11;P53:P56;P31:P32;P26;P19:P21;P17;P15">
    <cfRule type="cellIs" dxfId="0" priority="1429" operator="equal">
      <formula>"DSR"</formula>
    </cfRule>
    <cfRule type="cellIs" dxfId="1" priority="1428" operator="equal">
      <formula>"P"</formula>
    </cfRule>
    <cfRule type="cellIs" dxfId="2" priority="1427" operator="equal">
      <formula>"FJ"</formula>
    </cfRule>
    <cfRule type="cellIs" dxfId="3" priority="1426" operator="equal">
      <formula>"FI"</formula>
    </cfRule>
    <cfRule type="cellIs" dxfId="4" priority="1425" operator="equal">
      <formula>"FE"</formula>
    </cfRule>
    <cfRule type="cellIs" dxfId="5" priority="1424" operator="equal">
      <formula>"SC"</formula>
    </cfRule>
    <cfRule type="cellIs" dxfId="6" priority="1423" operator="equal">
      <formula>"ET"</formula>
    </cfRule>
  </conditionalFormatting>
  <conditionalFormatting sqref="H12:I12;L12:O12;S12:T12">
    <cfRule type="cellIs" dxfId="0" priority="1345" operator="equal">
      <formula>"DSR"</formula>
    </cfRule>
    <cfRule type="cellIs" dxfId="1" priority="1344" operator="equal">
      <formula>"P"</formula>
    </cfRule>
    <cfRule type="cellIs" dxfId="2" priority="1343" operator="equal">
      <formula>"FJ"</formula>
    </cfRule>
    <cfRule type="cellIs" dxfId="3" priority="1342" operator="equal">
      <formula>"FI"</formula>
    </cfRule>
    <cfRule type="cellIs" dxfId="4" priority="1341" operator="equal">
      <formula>"FE"</formula>
    </cfRule>
    <cfRule type="cellIs" dxfId="5" priority="1340" operator="equal">
      <formula>"SC"</formula>
    </cfRule>
    <cfRule type="cellIs" dxfId="6" priority="1339" operator="equal">
      <formula>"ET"</formula>
    </cfRule>
  </conditionalFormatting>
  <conditionalFormatting sqref="H13:I13;L13:P13">
    <cfRule type="cellIs" dxfId="0" priority="1037" operator="equal">
      <formula>"DSR"</formula>
    </cfRule>
    <cfRule type="cellIs" dxfId="1" priority="1036" operator="equal">
      <formula>"P"</formula>
    </cfRule>
    <cfRule type="cellIs" dxfId="2" priority="1035" operator="equal">
      <formula>"FJ"</formula>
    </cfRule>
    <cfRule type="cellIs" dxfId="3" priority="1034" operator="equal">
      <formula>"FI"</formula>
    </cfRule>
    <cfRule type="cellIs" dxfId="4" priority="1033" operator="equal">
      <formula>"FE"</formula>
    </cfRule>
    <cfRule type="cellIs" dxfId="5" priority="1032" operator="equal">
      <formula>"SC"</formula>
    </cfRule>
    <cfRule type="cellIs" dxfId="6" priority="1031" operator="equal">
      <formula>"ET"</formula>
    </cfRule>
  </conditionalFormatting>
  <conditionalFormatting sqref="H14:I14;L14:O14;S14:T14">
    <cfRule type="cellIs" dxfId="0" priority="1331" operator="equal">
      <formula>"DSR"</formula>
    </cfRule>
    <cfRule type="cellIs" dxfId="1" priority="1330" operator="equal">
      <formula>"P"</formula>
    </cfRule>
    <cfRule type="cellIs" dxfId="2" priority="1329" operator="equal">
      <formula>"FJ"</formula>
    </cfRule>
    <cfRule type="cellIs" dxfId="3" priority="1328" operator="equal">
      <formula>"FI"</formula>
    </cfRule>
    <cfRule type="cellIs" dxfId="4" priority="1327" operator="equal">
      <formula>"FE"</formula>
    </cfRule>
    <cfRule type="cellIs" dxfId="5" priority="1326" operator="equal">
      <formula>"SC"</formula>
    </cfRule>
    <cfRule type="cellIs" dxfId="6" priority="1325" operator="equal">
      <formula>"ET"</formula>
    </cfRule>
  </conditionalFormatting>
  <conditionalFormatting sqref="H16:I16;L16:O16;S16:T16">
    <cfRule type="cellIs" dxfId="0" priority="1317" operator="equal">
      <formula>"DSR"</formula>
    </cfRule>
    <cfRule type="cellIs" dxfId="1" priority="1316" operator="equal">
      <formula>"P"</formula>
    </cfRule>
    <cfRule type="cellIs" dxfId="2" priority="1315" operator="equal">
      <formula>"FJ"</formula>
    </cfRule>
    <cfRule type="cellIs" dxfId="3" priority="1314" operator="equal">
      <formula>"FI"</formula>
    </cfRule>
    <cfRule type="cellIs" dxfId="4" priority="1313" operator="equal">
      <formula>"FE"</formula>
    </cfRule>
    <cfRule type="cellIs" dxfId="5" priority="1312" operator="equal">
      <formula>"SC"</formula>
    </cfRule>
    <cfRule type="cellIs" dxfId="6" priority="1311" operator="equal">
      <formula>"ET"</formula>
    </cfRule>
  </conditionalFormatting>
  <conditionalFormatting sqref="H18:I18;L18:O18;S18:T18">
    <cfRule type="cellIs" dxfId="0" priority="1303" operator="equal">
      <formula>"DSR"</formula>
    </cfRule>
    <cfRule type="cellIs" dxfId="1" priority="1302" operator="equal">
      <formula>"P"</formula>
    </cfRule>
    <cfRule type="cellIs" dxfId="2" priority="1301" operator="equal">
      <formula>"FJ"</formula>
    </cfRule>
    <cfRule type="cellIs" dxfId="3" priority="1300" operator="equal">
      <formula>"FI"</formula>
    </cfRule>
    <cfRule type="cellIs" dxfId="4" priority="1299" operator="equal">
      <formula>"FE"</formula>
    </cfRule>
    <cfRule type="cellIs" dxfId="5" priority="1298" operator="equal">
      <formula>"SC"</formula>
    </cfRule>
    <cfRule type="cellIs" dxfId="6" priority="1297" operator="equal">
      <formula>"ET"</formula>
    </cfRule>
  </conditionalFormatting>
  <conditionalFormatting sqref="S19:T20">
    <cfRule type="cellIs" dxfId="0" priority="848" operator="equal">
      <formula>"DSR"</formula>
    </cfRule>
    <cfRule type="cellIs" dxfId="1" priority="847" operator="equal">
      <formula>"P"</formula>
    </cfRule>
    <cfRule type="cellIs" dxfId="2" priority="846" operator="equal">
      <formula>"FJ"</formula>
    </cfRule>
    <cfRule type="cellIs" dxfId="3" priority="845" operator="equal">
      <formula>"FI"</formula>
    </cfRule>
    <cfRule type="cellIs" dxfId="4" priority="844" operator="equal">
      <formula>"FE"</formula>
    </cfRule>
    <cfRule type="cellIs" dxfId="5" priority="843" operator="equal">
      <formula>"SC"</formula>
    </cfRule>
    <cfRule type="cellIs" dxfId="6" priority="842" operator="equal">
      <formula>"ET"</formula>
    </cfRule>
  </conditionalFormatting>
  <conditionalFormatting sqref="I20:I21;I51;I31:I32;I24:I26">
    <cfRule type="cellIs" dxfId="0" priority="1569" operator="equal">
      <formula>"DSR"</formula>
    </cfRule>
    <cfRule type="cellIs" dxfId="1" priority="1568" operator="equal">
      <formula>"P"</formula>
    </cfRule>
    <cfRule type="cellIs" dxfId="2" priority="1567" operator="equal">
      <formula>"FJ"</formula>
    </cfRule>
    <cfRule type="cellIs" dxfId="3" priority="1566" operator="equal">
      <formula>"FI"</formula>
    </cfRule>
    <cfRule type="cellIs" dxfId="4" priority="1565" operator="equal">
      <formula>"FE"</formula>
    </cfRule>
    <cfRule type="cellIs" dxfId="5" priority="1564" operator="equal">
      <formula>"SC"</formula>
    </cfRule>
    <cfRule type="cellIs" dxfId="6" priority="1563" operator="equal">
      <formula>"ET"</formula>
    </cfRule>
  </conditionalFormatting>
  <conditionalFormatting sqref="W20;Z20:AA20">
    <cfRule type="cellIs" dxfId="0" priority="1562" operator="equal">
      <formula>"DSR"</formula>
    </cfRule>
    <cfRule type="cellIs" dxfId="1" priority="1561" operator="equal">
      <formula>"P"</formula>
    </cfRule>
    <cfRule type="cellIs" dxfId="2" priority="1560" operator="equal">
      <formula>"FJ"</formula>
    </cfRule>
    <cfRule type="cellIs" dxfId="3" priority="1559" operator="equal">
      <formula>"FI"</formula>
    </cfRule>
    <cfRule type="cellIs" dxfId="4" priority="1558" operator="equal">
      <formula>"FE"</formula>
    </cfRule>
    <cfRule type="cellIs" dxfId="5" priority="1557" operator="equal">
      <formula>"SC"</formula>
    </cfRule>
    <cfRule type="cellIs" dxfId="6" priority="1556" operator="equal">
      <formula>"ET"</formula>
    </cfRule>
  </conditionalFormatting>
  <conditionalFormatting sqref="AD20;AF20:AH20">
    <cfRule type="cellIs" dxfId="0" priority="1555" operator="equal">
      <formula>"DSR"</formula>
    </cfRule>
    <cfRule type="cellIs" dxfId="1" priority="1554" operator="equal">
      <formula>"P"</formula>
    </cfRule>
    <cfRule type="cellIs" dxfId="2" priority="1553" operator="equal">
      <formula>"FJ"</formula>
    </cfRule>
    <cfRule type="cellIs" dxfId="3" priority="1552" operator="equal">
      <formula>"FI"</formula>
    </cfRule>
    <cfRule type="cellIs" dxfId="4" priority="1551" operator="equal">
      <formula>"FE"</formula>
    </cfRule>
    <cfRule type="cellIs" dxfId="5" priority="1550" operator="equal">
      <formula>"SC"</formula>
    </cfRule>
    <cfRule type="cellIs" dxfId="6" priority="1549" operator="equal">
      <formula>"ET"</formula>
    </cfRule>
  </conditionalFormatting>
  <conditionalFormatting sqref="H22:I22;L22:O22;S22:T22">
    <cfRule type="cellIs" dxfId="0" priority="1289" operator="equal">
      <formula>"DSR"</formula>
    </cfRule>
    <cfRule type="cellIs" dxfId="1" priority="1288" operator="equal">
      <formula>"P"</formula>
    </cfRule>
    <cfRule type="cellIs" dxfId="2" priority="1287" operator="equal">
      <formula>"FJ"</formula>
    </cfRule>
    <cfRule type="cellIs" dxfId="3" priority="1286" operator="equal">
      <formula>"FI"</formula>
    </cfRule>
    <cfRule type="cellIs" dxfId="4" priority="1285" operator="equal">
      <formula>"FE"</formula>
    </cfRule>
    <cfRule type="cellIs" dxfId="5" priority="1284" operator="equal">
      <formula>"SC"</formula>
    </cfRule>
    <cfRule type="cellIs" dxfId="6" priority="1283" operator="equal">
      <formula>"ET"</formula>
    </cfRule>
  </conditionalFormatting>
  <conditionalFormatting sqref="H23:I23;L23:O23;S23:T23">
    <cfRule type="cellIs" dxfId="0" priority="1275" operator="equal">
      <formula>"DSR"</formula>
    </cfRule>
    <cfRule type="cellIs" dxfId="1" priority="1274" operator="equal">
      <formula>"P"</formula>
    </cfRule>
    <cfRule type="cellIs" dxfId="2" priority="1273" operator="equal">
      <formula>"FJ"</formula>
    </cfRule>
    <cfRule type="cellIs" dxfId="3" priority="1272" operator="equal">
      <formula>"FI"</formula>
    </cfRule>
    <cfRule type="cellIs" dxfId="4" priority="1271" operator="equal">
      <formula>"FE"</formula>
    </cfRule>
    <cfRule type="cellIs" dxfId="5" priority="1270" operator="equal">
      <formula>"SC"</formula>
    </cfRule>
    <cfRule type="cellIs" dxfId="6" priority="1269" operator="equal">
      <formula>"ET"</formula>
    </cfRule>
  </conditionalFormatting>
  <conditionalFormatting sqref="L24:P25">
    <cfRule type="cellIs" dxfId="0" priority="834" operator="equal">
      <formula>"DSR"</formula>
    </cfRule>
    <cfRule type="cellIs" dxfId="1" priority="833" operator="equal">
      <formula>"P"</formula>
    </cfRule>
    <cfRule type="cellIs" dxfId="2" priority="832" operator="equal">
      <formula>"FJ"</formula>
    </cfRule>
    <cfRule type="cellIs" dxfId="3" priority="831" operator="equal">
      <formula>"FI"</formula>
    </cfRule>
    <cfRule type="cellIs" dxfId="4" priority="830" operator="equal">
      <formula>"FE"</formula>
    </cfRule>
    <cfRule type="cellIs" dxfId="5" priority="829" operator="equal">
      <formula>"SC"</formula>
    </cfRule>
    <cfRule type="cellIs" dxfId="6" priority="828" operator="equal">
      <formula>"ET"</formula>
    </cfRule>
  </conditionalFormatting>
  <conditionalFormatting sqref="H27:I27;L27:O27;S27:T27">
    <cfRule type="cellIs" dxfId="0" priority="1261" operator="equal">
      <formula>"DSR"</formula>
    </cfRule>
    <cfRule type="cellIs" dxfId="1" priority="1260" operator="equal">
      <formula>"P"</formula>
    </cfRule>
    <cfRule type="cellIs" dxfId="2" priority="1259" operator="equal">
      <formula>"FJ"</formula>
    </cfRule>
    <cfRule type="cellIs" dxfId="3" priority="1258" operator="equal">
      <formula>"FI"</formula>
    </cfRule>
    <cfRule type="cellIs" dxfId="4" priority="1257" operator="equal">
      <formula>"FE"</formula>
    </cfRule>
    <cfRule type="cellIs" dxfId="5" priority="1256" operator="equal">
      <formula>"SC"</formula>
    </cfRule>
    <cfRule type="cellIs" dxfId="6" priority="1255" operator="equal">
      <formula>"ET"</formula>
    </cfRule>
  </conditionalFormatting>
  <conditionalFormatting sqref="H28:I28;L28:O28;S28:T28">
    <cfRule type="cellIs" dxfId="0" priority="1247" operator="equal">
      <formula>"DSR"</formula>
    </cfRule>
    <cfRule type="cellIs" dxfId="1" priority="1246" operator="equal">
      <formula>"P"</formula>
    </cfRule>
    <cfRule type="cellIs" dxfId="2" priority="1245" operator="equal">
      <formula>"FJ"</formula>
    </cfRule>
    <cfRule type="cellIs" dxfId="3" priority="1244" operator="equal">
      <formula>"FI"</formula>
    </cfRule>
    <cfRule type="cellIs" dxfId="4" priority="1243" operator="equal">
      <formula>"FE"</formula>
    </cfRule>
    <cfRule type="cellIs" dxfId="5" priority="1242" operator="equal">
      <formula>"SC"</formula>
    </cfRule>
    <cfRule type="cellIs" dxfId="6" priority="1241" operator="equal">
      <formula>"ET"</formula>
    </cfRule>
  </conditionalFormatting>
  <conditionalFormatting sqref="H29:I29;L29:O29;S29:T29">
    <cfRule type="cellIs" dxfId="0" priority="1233" operator="equal">
      <formula>"DSR"</formula>
    </cfRule>
    <cfRule type="cellIs" dxfId="1" priority="1232" operator="equal">
      <formula>"P"</formula>
    </cfRule>
    <cfRule type="cellIs" dxfId="2" priority="1231" operator="equal">
      <formula>"FJ"</formula>
    </cfRule>
    <cfRule type="cellIs" dxfId="3" priority="1230" operator="equal">
      <formula>"FI"</formula>
    </cfRule>
    <cfRule type="cellIs" dxfId="4" priority="1229" operator="equal">
      <formula>"FE"</formula>
    </cfRule>
    <cfRule type="cellIs" dxfId="5" priority="1228" operator="equal">
      <formula>"SC"</formula>
    </cfRule>
    <cfRule type="cellIs" dxfId="6" priority="1227" operator="equal">
      <formula>"ET"</formula>
    </cfRule>
  </conditionalFormatting>
  <conditionalFormatting sqref="H30:I30;L30:O30;S30:T30">
    <cfRule type="cellIs" dxfId="0" priority="1219" operator="equal">
      <formula>"DSR"</formula>
    </cfRule>
    <cfRule type="cellIs" dxfId="1" priority="1218" operator="equal">
      <formula>"P"</formula>
    </cfRule>
    <cfRule type="cellIs" dxfId="2" priority="1217" operator="equal">
      <formula>"FJ"</formula>
    </cfRule>
    <cfRule type="cellIs" dxfId="3" priority="1216" operator="equal">
      <formula>"FI"</formula>
    </cfRule>
    <cfRule type="cellIs" dxfId="4" priority="1215" operator="equal">
      <formula>"FE"</formula>
    </cfRule>
    <cfRule type="cellIs" dxfId="5" priority="1214" operator="equal">
      <formula>"SC"</formula>
    </cfRule>
    <cfRule type="cellIs" dxfId="6" priority="1213" operator="equal">
      <formula>"ET"</formula>
    </cfRule>
  </conditionalFormatting>
  <conditionalFormatting sqref="L31:O32">
    <cfRule type="cellIs" dxfId="0" priority="820" operator="equal">
      <formula>"DSR"</formula>
    </cfRule>
    <cfRule type="cellIs" dxfId="1" priority="819" operator="equal">
      <formula>"P"</formula>
    </cfRule>
    <cfRule type="cellIs" dxfId="2" priority="818" operator="equal">
      <formula>"FJ"</formula>
    </cfRule>
    <cfRule type="cellIs" dxfId="3" priority="817" operator="equal">
      <formula>"FI"</formula>
    </cfRule>
    <cfRule type="cellIs" dxfId="4" priority="816" operator="equal">
      <formula>"FE"</formula>
    </cfRule>
    <cfRule type="cellIs" dxfId="5" priority="815" operator="equal">
      <formula>"SC"</formula>
    </cfRule>
    <cfRule type="cellIs" dxfId="6" priority="814" operator="equal">
      <formula>"ET"</formula>
    </cfRule>
  </conditionalFormatting>
  <conditionalFormatting sqref="S31:T32">
    <cfRule type="cellIs" dxfId="0" priority="813" operator="equal">
      <formula>"DSR"</formula>
    </cfRule>
    <cfRule type="cellIs" dxfId="1" priority="812" operator="equal">
      <formula>"P"</formula>
    </cfRule>
    <cfRule type="cellIs" dxfId="2" priority="811" operator="equal">
      <formula>"FJ"</formula>
    </cfRule>
    <cfRule type="cellIs" dxfId="3" priority="810" operator="equal">
      <formula>"FI"</formula>
    </cfRule>
    <cfRule type="cellIs" dxfId="4" priority="809" operator="equal">
      <formula>"FE"</formula>
    </cfRule>
    <cfRule type="cellIs" dxfId="5" priority="808" operator="equal">
      <formula>"SC"</formula>
    </cfRule>
    <cfRule type="cellIs" dxfId="6" priority="807" operator="equal">
      <formula>"ET"</formula>
    </cfRule>
  </conditionalFormatting>
  <conditionalFormatting sqref="H33:I33;L33:O33;S33:T33">
    <cfRule type="cellIs" dxfId="0" priority="1205" operator="equal">
      <formula>"DSR"</formula>
    </cfRule>
    <cfRule type="cellIs" dxfId="1" priority="1204" operator="equal">
      <formula>"P"</formula>
    </cfRule>
    <cfRule type="cellIs" dxfId="2" priority="1203" operator="equal">
      <formula>"FJ"</formula>
    </cfRule>
    <cfRule type="cellIs" dxfId="3" priority="1202" operator="equal">
      <formula>"FI"</formula>
    </cfRule>
    <cfRule type="cellIs" dxfId="4" priority="1201" operator="equal">
      <formula>"FE"</formula>
    </cfRule>
    <cfRule type="cellIs" dxfId="5" priority="1200" operator="equal">
      <formula>"SC"</formula>
    </cfRule>
    <cfRule type="cellIs" dxfId="6" priority="1199" operator="equal">
      <formula>"ET"</formula>
    </cfRule>
  </conditionalFormatting>
  <conditionalFormatting sqref="H34:I34;L34:O34;S34:T34">
    <cfRule type="cellIs" dxfId="0" priority="1191" operator="equal">
      <formula>"DSR"</formula>
    </cfRule>
    <cfRule type="cellIs" dxfId="1" priority="1190" operator="equal">
      <formula>"P"</formula>
    </cfRule>
    <cfRule type="cellIs" dxfId="2" priority="1189" operator="equal">
      <formula>"FJ"</formula>
    </cfRule>
    <cfRule type="cellIs" dxfId="3" priority="1188" operator="equal">
      <formula>"FI"</formula>
    </cfRule>
    <cfRule type="cellIs" dxfId="4" priority="1187" operator="equal">
      <formula>"FE"</formula>
    </cfRule>
    <cfRule type="cellIs" dxfId="5" priority="1186" operator="equal">
      <formula>"SC"</formula>
    </cfRule>
    <cfRule type="cellIs" dxfId="6" priority="1185" operator="equal">
      <formula>"ET"</formula>
    </cfRule>
  </conditionalFormatting>
  <conditionalFormatting sqref="H35:I35;L35:O35;S35:T35">
    <cfRule type="cellIs" dxfId="0" priority="1177" operator="equal">
      <formula>"DSR"</formula>
    </cfRule>
    <cfRule type="cellIs" dxfId="1" priority="1176" operator="equal">
      <formula>"P"</formula>
    </cfRule>
    <cfRule type="cellIs" dxfId="2" priority="1175" operator="equal">
      <formula>"FJ"</formula>
    </cfRule>
    <cfRule type="cellIs" dxfId="3" priority="1174" operator="equal">
      <formula>"FI"</formula>
    </cfRule>
    <cfRule type="cellIs" dxfId="4" priority="1173" operator="equal">
      <formula>"FE"</formula>
    </cfRule>
    <cfRule type="cellIs" dxfId="5" priority="1172" operator="equal">
      <formula>"SC"</formula>
    </cfRule>
    <cfRule type="cellIs" dxfId="6" priority="1171" operator="equal">
      <formula>"ET"</formula>
    </cfRule>
  </conditionalFormatting>
  <conditionalFormatting sqref="H36:I36;L36:O36;S36:T36">
    <cfRule type="cellIs" dxfId="0" priority="806" operator="equal">
      <formula>"DSR"</formula>
    </cfRule>
    <cfRule type="cellIs" dxfId="1" priority="805" operator="equal">
      <formula>"P"</formula>
    </cfRule>
    <cfRule type="cellIs" dxfId="2" priority="804" operator="equal">
      <formula>"FJ"</formula>
    </cfRule>
    <cfRule type="cellIs" dxfId="3" priority="803" operator="equal">
      <formula>"FI"</formula>
    </cfRule>
    <cfRule type="cellIs" dxfId="4" priority="802" operator="equal">
      <formula>"FE"</formula>
    </cfRule>
    <cfRule type="cellIs" dxfId="5" priority="801" operator="equal">
      <formula>"SC"</formula>
    </cfRule>
    <cfRule type="cellIs" dxfId="6" priority="800" operator="equal">
      <formula>"ET"</formula>
    </cfRule>
  </conditionalFormatting>
  <conditionalFormatting sqref="H37:I37;L37:O37;S37:T37">
    <cfRule type="cellIs" dxfId="0" priority="1163" operator="equal">
      <formula>"DSR"</formula>
    </cfRule>
    <cfRule type="cellIs" dxfId="1" priority="1162" operator="equal">
      <formula>"P"</formula>
    </cfRule>
    <cfRule type="cellIs" dxfId="2" priority="1161" operator="equal">
      <formula>"FJ"</formula>
    </cfRule>
    <cfRule type="cellIs" dxfId="3" priority="1160" operator="equal">
      <formula>"FI"</formula>
    </cfRule>
    <cfRule type="cellIs" dxfId="4" priority="1159" operator="equal">
      <formula>"FE"</formula>
    </cfRule>
    <cfRule type="cellIs" dxfId="5" priority="1158" operator="equal">
      <formula>"SC"</formula>
    </cfRule>
    <cfRule type="cellIs" dxfId="6" priority="1157" operator="equal">
      <formula>"ET"</formula>
    </cfRule>
  </conditionalFormatting>
  <conditionalFormatting sqref="U37:W37;Z37:AA37;AD37;AF37:AH37">
    <cfRule type="cellIs" dxfId="0" priority="1548" operator="equal">
      <formula>"DSR"</formula>
    </cfRule>
    <cfRule type="cellIs" dxfId="1" priority="1542" operator="equal">
      <formula>"P"</formula>
    </cfRule>
    <cfRule type="cellIs" dxfId="2" priority="1536" operator="equal">
      <formula>"FJ"</formula>
    </cfRule>
    <cfRule type="cellIs" dxfId="3" priority="1530" operator="equal">
      <formula>"FI"</formula>
    </cfRule>
    <cfRule type="cellIs" dxfId="4" priority="1524" operator="equal">
      <formula>"FE"</formula>
    </cfRule>
    <cfRule type="cellIs" dxfId="5" priority="1518" operator="equal">
      <formula>"SC"</formula>
    </cfRule>
    <cfRule type="cellIs" dxfId="6" priority="1512" operator="equal">
      <formula>"ET"</formula>
    </cfRule>
  </conditionalFormatting>
  <conditionalFormatting sqref="V38:W38;Z38:AA38;AD38;AF38:AH38">
    <cfRule type="cellIs" dxfId="0" priority="1547" operator="equal">
      <formula>"DSR"</formula>
    </cfRule>
    <cfRule type="cellIs" dxfId="1" priority="1541" operator="equal">
      <formula>"P"</formula>
    </cfRule>
    <cfRule type="cellIs" dxfId="2" priority="1535" operator="equal">
      <formula>"FJ"</formula>
    </cfRule>
    <cfRule type="cellIs" dxfId="3" priority="1529" operator="equal">
      <formula>"FI"</formula>
    </cfRule>
    <cfRule type="cellIs" dxfId="4" priority="1523" operator="equal">
      <formula>"FE"</formula>
    </cfRule>
    <cfRule type="cellIs" dxfId="5" priority="1517" operator="equal">
      <formula>"SC"</formula>
    </cfRule>
    <cfRule type="cellIs" dxfId="6" priority="1511" operator="equal">
      <formula>"ET"</formula>
    </cfRule>
  </conditionalFormatting>
  <conditionalFormatting sqref="V39:W39;Z39:AA39;AD39;AF39:AH39">
    <cfRule type="cellIs" dxfId="0" priority="1546" operator="equal">
      <formula>"DSR"</formula>
    </cfRule>
    <cfRule type="cellIs" dxfId="1" priority="1540" operator="equal">
      <formula>"P"</formula>
    </cfRule>
    <cfRule type="cellIs" dxfId="2" priority="1534" operator="equal">
      <formula>"FJ"</formula>
    </cfRule>
    <cfRule type="cellIs" dxfId="3" priority="1528" operator="equal">
      <formula>"FI"</formula>
    </cfRule>
    <cfRule type="cellIs" dxfId="4" priority="1522" operator="equal">
      <formula>"FE"</formula>
    </cfRule>
    <cfRule type="cellIs" dxfId="5" priority="1516" operator="equal">
      <formula>"SC"</formula>
    </cfRule>
    <cfRule type="cellIs" dxfId="6" priority="1510" operator="equal">
      <formula>"ET"</formula>
    </cfRule>
  </conditionalFormatting>
  <conditionalFormatting sqref="H40;S40:W40;Z40;AD40;AF40:AG40">
    <cfRule type="cellIs" dxfId="0" priority="1545" operator="equal">
      <formula>"DSR"</formula>
    </cfRule>
    <cfRule type="cellIs" dxfId="1" priority="1539" operator="equal">
      <formula>"P"</formula>
    </cfRule>
    <cfRule type="cellIs" dxfId="2" priority="1533" operator="equal">
      <formula>"FJ"</formula>
    </cfRule>
    <cfRule type="cellIs" dxfId="3" priority="1527" operator="equal">
      <formula>"FI"</formula>
    </cfRule>
    <cfRule type="cellIs" dxfId="4" priority="1521" operator="equal">
      <formula>"FE"</formula>
    </cfRule>
    <cfRule type="cellIs" dxfId="5" priority="1515" operator="equal">
      <formula>"SC"</formula>
    </cfRule>
    <cfRule type="cellIs" dxfId="6" priority="1509" operator="equal">
      <formula>"ET"</formula>
    </cfRule>
  </conditionalFormatting>
  <conditionalFormatting sqref="H41;L41:O41;S41:W41;Z41:AA41;AD41;AF41:AH41">
    <cfRule type="cellIs" dxfId="0" priority="1544" operator="equal">
      <formula>"DSR"</formula>
    </cfRule>
    <cfRule type="cellIs" dxfId="1" priority="1538" operator="equal">
      <formula>"P"</formula>
    </cfRule>
    <cfRule type="cellIs" dxfId="2" priority="1532" operator="equal">
      <formula>"FJ"</formula>
    </cfRule>
    <cfRule type="cellIs" dxfId="3" priority="1526" operator="equal">
      <formula>"FI"</formula>
    </cfRule>
    <cfRule type="cellIs" dxfId="4" priority="1520" operator="equal">
      <formula>"FE"</formula>
    </cfRule>
    <cfRule type="cellIs" dxfId="5" priority="1514" operator="equal">
      <formula>"SC"</formula>
    </cfRule>
    <cfRule type="cellIs" dxfId="6" priority="1508" operator="equal">
      <formula>"ET"</formula>
    </cfRule>
  </conditionalFormatting>
  <conditionalFormatting sqref="H42:I42;L42:O42;S42:T42">
    <cfRule type="cellIs" dxfId="0" priority="1149" operator="equal">
      <formula>"DSR"</formula>
    </cfRule>
    <cfRule type="cellIs" dxfId="1" priority="1148" operator="equal">
      <formula>"P"</formula>
    </cfRule>
    <cfRule type="cellIs" dxfId="2" priority="1147" operator="equal">
      <formula>"FJ"</formula>
    </cfRule>
    <cfRule type="cellIs" dxfId="3" priority="1146" operator="equal">
      <formula>"FI"</formula>
    </cfRule>
    <cfRule type="cellIs" dxfId="4" priority="1145" operator="equal">
      <formula>"FE"</formula>
    </cfRule>
    <cfRule type="cellIs" dxfId="5" priority="1144" operator="equal">
      <formula>"SC"</formula>
    </cfRule>
    <cfRule type="cellIs" dxfId="6" priority="1143" operator="equal">
      <formula>"ET"</formula>
    </cfRule>
  </conditionalFormatting>
  <conditionalFormatting sqref="U42:W42;Z42:AA42;AD42;AF42:AH42">
    <cfRule type="cellIs" dxfId="0" priority="1543" operator="equal">
      <formula>"DSR"</formula>
    </cfRule>
    <cfRule type="cellIs" dxfId="1" priority="1537" operator="equal">
      <formula>"P"</formula>
    </cfRule>
    <cfRule type="cellIs" dxfId="2" priority="1531" operator="equal">
      <formula>"FJ"</formula>
    </cfRule>
    <cfRule type="cellIs" dxfId="3" priority="1525" operator="equal">
      <formula>"FI"</formula>
    </cfRule>
    <cfRule type="cellIs" dxfId="4" priority="1519" operator="equal">
      <formula>"FE"</formula>
    </cfRule>
    <cfRule type="cellIs" dxfId="5" priority="1513" operator="equal">
      <formula>"SC"</formula>
    </cfRule>
    <cfRule type="cellIs" dxfId="6" priority="1507" operator="equal">
      <formula>"ET"</formula>
    </cfRule>
  </conditionalFormatting>
  <conditionalFormatting sqref="H43:I43;L43:O43">
    <cfRule type="cellIs" dxfId="0" priority="1135" operator="equal">
      <formula>"DSR"</formula>
    </cfRule>
    <cfRule type="cellIs" dxfId="1" priority="1134" operator="equal">
      <formula>"P"</formula>
    </cfRule>
    <cfRule type="cellIs" dxfId="2" priority="1133" operator="equal">
      <formula>"FJ"</formula>
    </cfRule>
    <cfRule type="cellIs" dxfId="3" priority="1132" operator="equal">
      <formula>"FI"</formula>
    </cfRule>
    <cfRule type="cellIs" dxfId="4" priority="1131" operator="equal">
      <formula>"FE"</formula>
    </cfRule>
    <cfRule type="cellIs" dxfId="5" priority="1130" operator="equal">
      <formula>"SC"</formula>
    </cfRule>
    <cfRule type="cellIs" dxfId="6" priority="1129" operator="equal">
      <formula>"ET"</formula>
    </cfRule>
  </conditionalFormatting>
  <conditionalFormatting sqref="H44;L44:O44;S44:T44;AF44:AH44">
    <cfRule type="cellIs" dxfId="0" priority="1492" operator="equal">
      <formula>"DSR"</formula>
    </cfRule>
    <cfRule type="cellIs" dxfId="1" priority="1486" operator="equal">
      <formula>"P"</formula>
    </cfRule>
    <cfRule type="cellIs" dxfId="2" priority="1480" operator="equal">
      <formula>"FJ"</formula>
    </cfRule>
    <cfRule type="cellIs" dxfId="3" priority="1474" operator="equal">
      <formula>"FI"</formula>
    </cfRule>
    <cfRule type="cellIs" dxfId="4" priority="1468" operator="equal">
      <formula>"FE"</formula>
    </cfRule>
    <cfRule type="cellIs" dxfId="5" priority="1462" operator="equal">
      <formula>"SC"</formula>
    </cfRule>
    <cfRule type="cellIs" dxfId="6" priority="1456" operator="equal">
      <formula>"ET"</formula>
    </cfRule>
  </conditionalFormatting>
  <conditionalFormatting sqref="E45:I45;L45:P45;S45:T45">
    <cfRule type="cellIs" dxfId="0" priority="351" operator="equal">
      <formula>"DSR"</formula>
    </cfRule>
    <cfRule type="cellIs" dxfId="1" priority="350" operator="equal">
      <formula>"P"</formula>
    </cfRule>
    <cfRule type="cellIs" dxfId="2" priority="349" operator="equal">
      <formula>"FJ"</formula>
    </cfRule>
    <cfRule type="cellIs" dxfId="3" priority="348" operator="equal">
      <formula>"FI"</formula>
    </cfRule>
    <cfRule type="cellIs" dxfId="4" priority="347" operator="equal">
      <formula>"FE"</formula>
    </cfRule>
    <cfRule type="cellIs" dxfId="5" priority="346" operator="equal">
      <formula>"SC"</formula>
    </cfRule>
    <cfRule type="cellIs" dxfId="6" priority="345" operator="equal">
      <formula>"ET"</formula>
    </cfRule>
  </conditionalFormatting>
  <conditionalFormatting sqref="U45:W45;Z45:AD45">
    <cfRule type="cellIs" dxfId="0" priority="344" operator="equal">
      <formula>"DSR"</formula>
    </cfRule>
    <cfRule type="cellIs" dxfId="1" priority="343" operator="equal">
      <formula>"P"</formula>
    </cfRule>
    <cfRule type="cellIs" dxfId="2" priority="342" operator="equal">
      <formula>"FJ"</formula>
    </cfRule>
    <cfRule type="cellIs" dxfId="3" priority="341" operator="equal">
      <formula>"FI"</formula>
    </cfRule>
    <cfRule type="cellIs" dxfId="4" priority="340" operator="equal">
      <formula>"FE"</formula>
    </cfRule>
    <cfRule type="cellIs" dxfId="5" priority="339" operator="equal">
      <formula>"SC"</formula>
    </cfRule>
    <cfRule type="cellIs" dxfId="6" priority="338" operator="equal">
      <formula>"ET"</formula>
    </cfRule>
  </conditionalFormatting>
  <conditionalFormatting sqref="H46:I46;L46:O46;S46:T46">
    <cfRule type="cellIs" dxfId="0" priority="1121" operator="equal">
      <formula>"DSR"</formula>
    </cfRule>
    <cfRule type="cellIs" dxfId="1" priority="1120" operator="equal">
      <formula>"P"</formula>
    </cfRule>
    <cfRule type="cellIs" dxfId="2" priority="1119" operator="equal">
      <formula>"FJ"</formula>
    </cfRule>
    <cfRule type="cellIs" dxfId="3" priority="1118" operator="equal">
      <formula>"FI"</formula>
    </cfRule>
    <cfRule type="cellIs" dxfId="4" priority="1117" operator="equal">
      <formula>"FE"</formula>
    </cfRule>
    <cfRule type="cellIs" dxfId="5" priority="1116" operator="equal">
      <formula>"SC"</formula>
    </cfRule>
    <cfRule type="cellIs" dxfId="6" priority="1115" operator="equal">
      <formula>"ET"</formula>
    </cfRule>
  </conditionalFormatting>
  <conditionalFormatting sqref="U46:W46;Z46:AA46;AD46;AF46:AH46">
    <cfRule type="cellIs" dxfId="0" priority="1490" operator="equal">
      <formula>"DSR"</formula>
    </cfRule>
    <cfRule type="cellIs" dxfId="1" priority="1484" operator="equal">
      <formula>"P"</formula>
    </cfRule>
    <cfRule type="cellIs" dxfId="2" priority="1478" operator="equal">
      <formula>"FJ"</formula>
    </cfRule>
    <cfRule type="cellIs" dxfId="3" priority="1472" operator="equal">
      <formula>"FI"</formula>
    </cfRule>
    <cfRule type="cellIs" dxfId="4" priority="1466" operator="equal">
      <formula>"FE"</formula>
    </cfRule>
    <cfRule type="cellIs" dxfId="5" priority="1460" operator="equal">
      <formula>"SC"</formula>
    </cfRule>
    <cfRule type="cellIs" dxfId="6" priority="1454" operator="equal">
      <formula>"ET"</formula>
    </cfRule>
  </conditionalFormatting>
  <conditionalFormatting sqref="H47;L47:O47;S47:W47;Z47:AA47;AD47;AF47:AH47">
    <cfRule type="cellIs" dxfId="0" priority="1489" operator="equal">
      <formula>"DSR"</formula>
    </cfRule>
    <cfRule type="cellIs" dxfId="1" priority="1483" operator="equal">
      <formula>"P"</formula>
    </cfRule>
    <cfRule type="cellIs" dxfId="2" priority="1477" operator="equal">
      <formula>"FJ"</formula>
    </cfRule>
    <cfRule type="cellIs" dxfId="3" priority="1471" operator="equal">
      <formula>"FI"</formula>
    </cfRule>
    <cfRule type="cellIs" dxfId="4" priority="1465" operator="equal">
      <formula>"FE"</formula>
    </cfRule>
    <cfRule type="cellIs" dxfId="5" priority="1459" operator="equal">
      <formula>"SC"</formula>
    </cfRule>
    <cfRule type="cellIs" dxfId="6" priority="1453" operator="equal">
      <formula>"ET"</formula>
    </cfRule>
  </conditionalFormatting>
  <conditionalFormatting sqref="H48:I48;L48:O48;S48:T48">
    <cfRule type="cellIs" dxfId="0" priority="1107" operator="equal">
      <formula>"DSR"</formula>
    </cfRule>
    <cfRule type="cellIs" dxfId="1" priority="1106" operator="equal">
      <formula>"P"</formula>
    </cfRule>
    <cfRule type="cellIs" dxfId="2" priority="1105" operator="equal">
      <formula>"FJ"</formula>
    </cfRule>
    <cfRule type="cellIs" dxfId="3" priority="1104" operator="equal">
      <formula>"FI"</formula>
    </cfRule>
    <cfRule type="cellIs" dxfId="4" priority="1103" operator="equal">
      <formula>"FE"</formula>
    </cfRule>
    <cfRule type="cellIs" dxfId="5" priority="1102" operator="equal">
      <formula>"SC"</formula>
    </cfRule>
    <cfRule type="cellIs" dxfId="6" priority="1101" operator="equal">
      <formula>"ET"</formula>
    </cfRule>
  </conditionalFormatting>
  <conditionalFormatting sqref="U48:W48;Z48:AA48;AD48;AF48:AH48">
    <cfRule type="cellIs" dxfId="0" priority="1488" operator="equal">
      <formula>"DSR"</formula>
    </cfRule>
    <cfRule type="cellIs" dxfId="1" priority="1482" operator="equal">
      <formula>"P"</formula>
    </cfRule>
    <cfRule type="cellIs" dxfId="2" priority="1476" operator="equal">
      <formula>"FJ"</formula>
    </cfRule>
    <cfRule type="cellIs" dxfId="3" priority="1470" operator="equal">
      <formula>"FI"</formula>
    </cfRule>
    <cfRule type="cellIs" dxfId="4" priority="1464" operator="equal">
      <formula>"FE"</formula>
    </cfRule>
    <cfRule type="cellIs" dxfId="5" priority="1458" operator="equal">
      <formula>"SC"</formula>
    </cfRule>
    <cfRule type="cellIs" dxfId="6" priority="1452" operator="equal">
      <formula>"ET"</formula>
    </cfRule>
  </conditionalFormatting>
  <conditionalFormatting sqref="H49;L49:O49;S49:W49;Z49:AA49;AD49;AF49:AH49">
    <cfRule type="cellIs" dxfId="0" priority="1487" operator="equal">
      <formula>"DSR"</formula>
    </cfRule>
    <cfRule type="cellIs" dxfId="1" priority="1481" operator="equal">
      <formula>"P"</formula>
    </cfRule>
    <cfRule type="cellIs" dxfId="2" priority="1475" operator="equal">
      <formula>"FJ"</formula>
    </cfRule>
    <cfRule type="cellIs" dxfId="3" priority="1469" operator="equal">
      <formula>"FI"</formula>
    </cfRule>
    <cfRule type="cellIs" dxfId="4" priority="1463" operator="equal">
      <formula>"FE"</formula>
    </cfRule>
    <cfRule type="cellIs" dxfId="5" priority="1457" operator="equal">
      <formula>"SC"</formula>
    </cfRule>
    <cfRule type="cellIs" dxfId="6" priority="1451" operator="equal">
      <formula>"ET"</formula>
    </cfRule>
  </conditionalFormatting>
  <conditionalFormatting sqref="H50:I50;L50:O50;S50:T50">
    <cfRule type="cellIs" dxfId="0" priority="1093" operator="equal">
      <formula>"DSR"</formula>
    </cfRule>
    <cfRule type="cellIs" dxfId="1" priority="1092" operator="equal">
      <formula>"P"</formula>
    </cfRule>
    <cfRule type="cellIs" dxfId="2" priority="1091" operator="equal">
      <formula>"FJ"</formula>
    </cfRule>
    <cfRule type="cellIs" dxfId="3" priority="1090" operator="equal">
      <formula>"FI"</formula>
    </cfRule>
    <cfRule type="cellIs" dxfId="4" priority="1089" operator="equal">
      <formula>"FE"</formula>
    </cfRule>
    <cfRule type="cellIs" dxfId="5" priority="1088" operator="equal">
      <formula>"SC"</formula>
    </cfRule>
    <cfRule type="cellIs" dxfId="6" priority="1087" operator="equal">
      <formula>"ET"</formula>
    </cfRule>
  </conditionalFormatting>
  <conditionalFormatting sqref="H52:I52;L52:O52;S52:T52">
    <cfRule type="cellIs" dxfId="0" priority="1079" operator="equal">
      <formula>"DSR"</formula>
    </cfRule>
    <cfRule type="cellIs" dxfId="1" priority="1078" operator="equal">
      <formula>"P"</formula>
    </cfRule>
    <cfRule type="cellIs" dxfId="2" priority="1077" operator="equal">
      <formula>"FJ"</formula>
    </cfRule>
    <cfRule type="cellIs" dxfId="3" priority="1076" operator="equal">
      <formula>"FI"</formula>
    </cfRule>
    <cfRule type="cellIs" dxfId="4" priority="1075" operator="equal">
      <formula>"FE"</formula>
    </cfRule>
    <cfRule type="cellIs" dxfId="5" priority="1074" operator="equal">
      <formula>"SC"</formula>
    </cfRule>
    <cfRule type="cellIs" dxfId="6" priority="1073" operator="equal">
      <formula>"ET"</formula>
    </cfRule>
  </conditionalFormatting>
  <conditionalFormatting sqref="F68:G70">
    <cfRule type="cellIs" dxfId="0" priority="1912" operator="equal">
      <formula>"DSR"</formula>
    </cfRule>
    <cfRule type="cellIs" dxfId="1" priority="1911" operator="equal">
      <formula>"P"</formula>
    </cfRule>
    <cfRule type="cellIs" dxfId="2" priority="1910" operator="equal">
      <formula>"FJ"</formula>
    </cfRule>
    <cfRule type="cellIs" dxfId="3" priority="1909" operator="equal">
      <formula>"FI"</formula>
    </cfRule>
    <cfRule type="cellIs" dxfId="4" priority="1908" operator="equal">
      <formula>"FE"</formula>
    </cfRule>
    <cfRule type="cellIs" dxfId="5" priority="1907" operator="equal">
      <formula>"SC"</formula>
    </cfRule>
    <cfRule type="cellIs" dxfId="6" priority="1906" operator="equal">
      <formula>"ET"</formula>
    </cfRule>
  </conditionalFormatting>
  <conditionalFormatting sqref="V69:Z83;Q70;AC69:AG72;H73:L75;D117:AH117;K114:L114;O114;Q114:S114;AC114:AG114;W114:Z114;AD115:AG116;V115:Z116;Q116:S116;AD113:AG113;O116;H116:L116;V113:Z113;K84;O85;K85:L85;O90;K90:L90;V84;Q85:S85;AD85:AG100;Q88:S90;V85:Z100;Q95:Q96;H90;H84:H85;Q83:Q84;O73:O75;Q81:S81;Q79:S79;AD73:AG83;Q73:S75;O79;H79:L79;H83:K83;H81:L81;O81">
    <cfRule type="cellIs" dxfId="0" priority="2773" operator="equal">
      <formula>"DSR"</formula>
    </cfRule>
    <cfRule type="cellIs" dxfId="1" priority="2772" operator="equal">
      <formula>"P"</formula>
    </cfRule>
    <cfRule type="cellIs" dxfId="2" priority="2771" operator="equal">
      <formula>"FJ"</formula>
    </cfRule>
    <cfRule type="cellIs" dxfId="3" priority="2770" operator="equal">
      <formula>"FI"</formula>
    </cfRule>
    <cfRule type="cellIs" dxfId="4" priority="2769" operator="equal">
      <formula>"FE"</formula>
    </cfRule>
    <cfRule type="cellIs" dxfId="5" priority="2768" operator="equal">
      <formula>"SC"</formula>
    </cfRule>
    <cfRule type="cellIs" dxfId="6" priority="2767" operator="equal">
      <formula>"ET"</formula>
    </cfRule>
  </conditionalFormatting>
  <conditionalFormatting sqref="H69:L69;O69;Q69:S69">
    <cfRule type="cellIs" dxfId="0" priority="2605" operator="equal">
      <formula>"DSR"</formula>
    </cfRule>
    <cfRule type="cellIs" dxfId="1" priority="2604" operator="equal">
      <formula>"P"</formula>
    </cfRule>
    <cfRule type="cellIs" dxfId="2" priority="2603" operator="equal">
      <formula>"FJ"</formula>
    </cfRule>
    <cfRule type="cellIs" dxfId="3" priority="2602" operator="equal">
      <formula>"FI"</formula>
    </cfRule>
    <cfRule type="cellIs" dxfId="4" priority="2601" operator="equal">
      <formula>"FE"</formula>
    </cfRule>
    <cfRule type="cellIs" dxfId="5" priority="2600" operator="equal">
      <formula>"SC"</formula>
    </cfRule>
    <cfRule type="cellIs" dxfId="6" priority="2599" operator="equal">
      <formula>"ET"</formula>
    </cfRule>
  </conditionalFormatting>
  <conditionalFormatting sqref="M69:N82">
    <cfRule type="cellIs" dxfId="0" priority="323" operator="equal">
      <formula>"DSR"</formula>
    </cfRule>
    <cfRule type="cellIs" dxfId="1" priority="322" operator="equal">
      <formula>"P"</formula>
    </cfRule>
    <cfRule type="cellIs" dxfId="2" priority="321" operator="equal">
      <formula>"FJ"</formula>
    </cfRule>
    <cfRule type="cellIs" dxfId="3" priority="320" operator="equal">
      <formula>"FI"</formula>
    </cfRule>
    <cfRule type="cellIs" dxfId="4" priority="319" operator="equal">
      <formula>"FE"</formula>
    </cfRule>
    <cfRule type="cellIs" dxfId="5" priority="318" operator="equal">
      <formula>"SC"</formula>
    </cfRule>
    <cfRule type="cellIs" dxfId="6" priority="317" operator="equal">
      <formula>"ET"</formula>
    </cfRule>
  </conditionalFormatting>
  <conditionalFormatting sqref="H70:L70;O70">
    <cfRule type="cellIs" dxfId="0" priority="2283" operator="equal">
      <formula>"DSR"</formula>
    </cfRule>
    <cfRule type="cellIs" dxfId="1" priority="2282" operator="equal">
      <formula>"P"</formula>
    </cfRule>
    <cfRule type="cellIs" dxfId="2" priority="2281" operator="equal">
      <formula>"FJ"</formula>
    </cfRule>
    <cfRule type="cellIs" dxfId="3" priority="2280" operator="equal">
      <formula>"FI"</formula>
    </cfRule>
    <cfRule type="cellIs" dxfId="4" priority="2279" operator="equal">
      <formula>"FE"</formula>
    </cfRule>
    <cfRule type="cellIs" dxfId="5" priority="2278" operator="equal">
      <formula>"SC"</formula>
    </cfRule>
    <cfRule type="cellIs" dxfId="6" priority="2277" operator="equal">
      <formula>"ET"</formula>
    </cfRule>
  </conditionalFormatting>
  <conditionalFormatting sqref="T70:U86">
    <cfRule type="cellIs" dxfId="0" priority="309" operator="equal">
      <formula>"DSR"</formula>
    </cfRule>
    <cfRule type="cellIs" dxfId="1" priority="308" operator="equal">
      <formula>"P"</formula>
    </cfRule>
    <cfRule type="cellIs" dxfId="2" priority="307" operator="equal">
      <formula>"FJ"</formula>
    </cfRule>
    <cfRule type="cellIs" dxfId="3" priority="306" operator="equal">
      <formula>"FI"</formula>
    </cfRule>
    <cfRule type="cellIs" dxfId="4" priority="305" operator="equal">
      <formula>"FE"</formula>
    </cfRule>
    <cfRule type="cellIs" dxfId="5" priority="304" operator="equal">
      <formula>"SC"</formula>
    </cfRule>
    <cfRule type="cellIs" dxfId="6" priority="303" operator="equal">
      <formula>"ET"</formula>
    </cfRule>
  </conditionalFormatting>
  <conditionalFormatting sqref="AA70:AB107">
    <cfRule type="cellIs" dxfId="0" priority="239" operator="equal">
      <formula>"DSR"</formula>
    </cfRule>
    <cfRule type="cellIs" dxfId="1" priority="238" operator="equal">
      <formula>"P"</formula>
    </cfRule>
    <cfRule type="cellIs" dxfId="2" priority="237" operator="equal">
      <formula>"FJ"</formula>
    </cfRule>
    <cfRule type="cellIs" dxfId="3" priority="236" operator="equal">
      <formula>"FI"</formula>
    </cfRule>
    <cfRule type="cellIs" dxfId="4" priority="235" operator="equal">
      <formula>"FE"</formula>
    </cfRule>
    <cfRule type="cellIs" dxfId="5" priority="234" operator="equal">
      <formula>"SC"</formula>
    </cfRule>
    <cfRule type="cellIs" dxfId="6" priority="233" operator="equal">
      <formula>"ET"</formula>
    </cfRule>
  </conditionalFormatting>
  <conditionalFormatting sqref="D73:D88;D71">
    <cfRule type="cellIs" dxfId="0" priority="1828" operator="equal">
      <formula>"DSR"</formula>
    </cfRule>
    <cfRule type="cellIs" dxfId="1" priority="1827" operator="equal">
      <formula>"P"</formula>
    </cfRule>
    <cfRule type="cellIs" dxfId="2" priority="1826" operator="equal">
      <formula>"FJ"</formula>
    </cfRule>
    <cfRule type="cellIs" dxfId="3" priority="1825" operator="equal">
      <formula>"FI"</formula>
    </cfRule>
    <cfRule type="cellIs" dxfId="4" priority="1824" operator="equal">
      <formula>"FE"</formula>
    </cfRule>
    <cfRule type="cellIs" dxfId="5" priority="1823" operator="equal">
      <formula>"SC"</formula>
    </cfRule>
    <cfRule type="cellIs" dxfId="6" priority="1822" operator="equal">
      <formula>"ET"</formula>
    </cfRule>
  </conditionalFormatting>
  <conditionalFormatting sqref="E73:E103;E71">
    <cfRule type="cellIs" dxfId="0" priority="1835" operator="equal">
      <formula>"DSR"</formula>
    </cfRule>
    <cfRule type="cellIs" dxfId="1" priority="1834" operator="equal">
      <formula>"P"</formula>
    </cfRule>
    <cfRule type="cellIs" dxfId="2" priority="1833" operator="equal">
      <formula>"FJ"</formula>
    </cfRule>
    <cfRule type="cellIs" dxfId="3" priority="1832" operator="equal">
      <formula>"FI"</formula>
    </cfRule>
    <cfRule type="cellIs" dxfId="4" priority="1831" operator="equal">
      <formula>"FE"</formula>
    </cfRule>
    <cfRule type="cellIs" dxfId="5" priority="1830" operator="equal">
      <formula>"SC"</formula>
    </cfRule>
    <cfRule type="cellIs" dxfId="6" priority="1829" operator="equal">
      <formula>"ET"</formula>
    </cfRule>
  </conditionalFormatting>
  <conditionalFormatting sqref="F82:G97;F71:G71;F73:G80">
    <cfRule type="cellIs" dxfId="0" priority="1891" operator="equal">
      <formula>"DSR"</formula>
    </cfRule>
    <cfRule type="cellIs" dxfId="1" priority="1890" operator="equal">
      <formula>"P"</formula>
    </cfRule>
    <cfRule type="cellIs" dxfId="2" priority="1889" operator="equal">
      <formula>"FJ"</formula>
    </cfRule>
    <cfRule type="cellIs" dxfId="3" priority="1888" operator="equal">
      <formula>"FI"</formula>
    </cfRule>
    <cfRule type="cellIs" dxfId="4" priority="1887" operator="equal">
      <formula>"FE"</formula>
    </cfRule>
    <cfRule type="cellIs" dxfId="5" priority="1886" operator="equal">
      <formula>"SC"</formula>
    </cfRule>
    <cfRule type="cellIs" dxfId="6" priority="1885" operator="equal">
      <formula>"ET"</formula>
    </cfRule>
  </conditionalFormatting>
  <conditionalFormatting sqref="H71:L71;Q71:S71;O71">
    <cfRule type="cellIs" dxfId="0" priority="2591" operator="equal">
      <formula>"DSR"</formula>
    </cfRule>
    <cfRule type="cellIs" dxfId="1" priority="2590" operator="equal">
      <formula>"P"</formula>
    </cfRule>
    <cfRule type="cellIs" dxfId="2" priority="2589" operator="equal">
      <formula>"FJ"</formula>
    </cfRule>
    <cfRule type="cellIs" dxfId="3" priority="2588" operator="equal">
      <formula>"FI"</formula>
    </cfRule>
    <cfRule type="cellIs" dxfId="4" priority="2587" operator="equal">
      <formula>"FE"</formula>
    </cfRule>
    <cfRule type="cellIs" dxfId="5" priority="2586" operator="equal">
      <formula>"SC"</formula>
    </cfRule>
    <cfRule type="cellIs" dxfId="6" priority="2585" operator="equal">
      <formula>"ET"</formula>
    </cfRule>
  </conditionalFormatting>
  <conditionalFormatting sqref="K72:L72;Q72:S72;O72">
    <cfRule type="cellIs" dxfId="0" priority="2577" operator="equal">
      <formula>"DSR"</formula>
    </cfRule>
    <cfRule type="cellIs" dxfId="1" priority="2576" operator="equal">
      <formula>"P"</formula>
    </cfRule>
    <cfRule type="cellIs" dxfId="2" priority="2575" operator="equal">
      <formula>"FJ"</formula>
    </cfRule>
    <cfRule type="cellIs" dxfId="3" priority="2574" operator="equal">
      <formula>"FI"</formula>
    </cfRule>
    <cfRule type="cellIs" dxfId="4" priority="2573" operator="equal">
      <formula>"FE"</formula>
    </cfRule>
    <cfRule type="cellIs" dxfId="5" priority="2572" operator="equal">
      <formula>"SC"</formula>
    </cfRule>
    <cfRule type="cellIs" dxfId="6" priority="2571" operator="equal">
      <formula>"ET"</formula>
    </cfRule>
  </conditionalFormatting>
  <conditionalFormatting sqref="P73:P75;P116;P81;P83:P85;P90;P95:P96;P79">
    <cfRule type="cellIs" dxfId="0" priority="2633" operator="equal">
      <formula>"DSR"</formula>
    </cfRule>
    <cfRule type="cellIs" dxfId="1" priority="2632" operator="equal">
      <formula>"P"</formula>
    </cfRule>
    <cfRule type="cellIs" dxfId="2" priority="2631" operator="equal">
      <formula>"FJ"</formula>
    </cfRule>
    <cfRule type="cellIs" dxfId="3" priority="2630" operator="equal">
      <formula>"FI"</formula>
    </cfRule>
    <cfRule type="cellIs" dxfId="4" priority="2629" operator="equal">
      <formula>"FE"</formula>
    </cfRule>
    <cfRule type="cellIs" dxfId="5" priority="2628" operator="equal">
      <formula>"SC"</formula>
    </cfRule>
    <cfRule type="cellIs" dxfId="6" priority="2627" operator="equal">
      <formula>"ET"</formula>
    </cfRule>
  </conditionalFormatting>
  <conditionalFormatting sqref="H76:L76;Q76:S76;O76">
    <cfRule type="cellIs" dxfId="0" priority="2563" operator="equal">
      <formula>"DSR"</formula>
    </cfRule>
    <cfRule type="cellIs" dxfId="1" priority="2562" operator="equal">
      <formula>"P"</formula>
    </cfRule>
    <cfRule type="cellIs" dxfId="2" priority="2561" operator="equal">
      <formula>"FJ"</formula>
    </cfRule>
    <cfRule type="cellIs" dxfId="3" priority="2560" operator="equal">
      <formula>"FI"</formula>
    </cfRule>
    <cfRule type="cellIs" dxfId="4" priority="2559" operator="equal">
      <formula>"FE"</formula>
    </cfRule>
    <cfRule type="cellIs" dxfId="5" priority="2558" operator="equal">
      <formula>"SC"</formula>
    </cfRule>
    <cfRule type="cellIs" dxfId="6" priority="2557" operator="equal">
      <formula>"ET"</formula>
    </cfRule>
  </conditionalFormatting>
  <conditionalFormatting sqref="H77:L77;O77:Q77">
    <cfRule type="cellIs" dxfId="0" priority="2255" operator="equal">
      <formula>"DSR"</formula>
    </cfRule>
    <cfRule type="cellIs" dxfId="1" priority="2254" operator="equal">
      <formula>"P"</formula>
    </cfRule>
    <cfRule type="cellIs" dxfId="2" priority="2253" operator="equal">
      <formula>"FJ"</formula>
    </cfRule>
    <cfRule type="cellIs" dxfId="3" priority="2252" operator="equal">
      <formula>"FI"</formula>
    </cfRule>
    <cfRule type="cellIs" dxfId="4" priority="2251" operator="equal">
      <formula>"FE"</formula>
    </cfRule>
    <cfRule type="cellIs" dxfId="5" priority="2250" operator="equal">
      <formula>"SC"</formula>
    </cfRule>
    <cfRule type="cellIs" dxfId="6" priority="2249" operator="equal">
      <formula>"ET"</formula>
    </cfRule>
  </conditionalFormatting>
  <conditionalFormatting sqref="H78:L78;Q78:S78;O78">
    <cfRule type="cellIs" dxfId="0" priority="2549" operator="equal">
      <formula>"DSR"</formula>
    </cfRule>
    <cfRule type="cellIs" dxfId="1" priority="2548" operator="equal">
      <formula>"P"</formula>
    </cfRule>
    <cfRule type="cellIs" dxfId="2" priority="2547" operator="equal">
      <formula>"FJ"</formula>
    </cfRule>
    <cfRule type="cellIs" dxfId="3" priority="2546" operator="equal">
      <formula>"FI"</formula>
    </cfRule>
    <cfRule type="cellIs" dxfId="4" priority="2545" operator="equal">
      <formula>"FE"</formula>
    </cfRule>
    <cfRule type="cellIs" dxfId="5" priority="2544" operator="equal">
      <formula>"SC"</formula>
    </cfRule>
    <cfRule type="cellIs" dxfId="6" priority="2543" operator="equal">
      <formula>"ET"</formula>
    </cfRule>
  </conditionalFormatting>
  <conditionalFormatting sqref="H80:L80;Q80:S80;O80">
    <cfRule type="cellIs" dxfId="0" priority="2535" operator="equal">
      <formula>"DSR"</formula>
    </cfRule>
    <cfRule type="cellIs" dxfId="1" priority="2534" operator="equal">
      <formula>"P"</formula>
    </cfRule>
    <cfRule type="cellIs" dxfId="2" priority="2533" operator="equal">
      <formula>"FJ"</formula>
    </cfRule>
    <cfRule type="cellIs" dxfId="3" priority="2532" operator="equal">
      <formula>"FI"</formula>
    </cfRule>
    <cfRule type="cellIs" dxfId="4" priority="2531" operator="equal">
      <formula>"FE"</formula>
    </cfRule>
    <cfRule type="cellIs" dxfId="5" priority="2530" operator="equal">
      <formula>"SC"</formula>
    </cfRule>
    <cfRule type="cellIs" dxfId="6" priority="2529" operator="equal">
      <formula>"ET"</formula>
    </cfRule>
  </conditionalFormatting>
  <conditionalFormatting sqref="H82:L82;Q82:S82;O82">
    <cfRule type="cellIs" dxfId="0" priority="2521" operator="equal">
      <formula>"DSR"</formula>
    </cfRule>
    <cfRule type="cellIs" dxfId="1" priority="2520" operator="equal">
      <formula>"P"</formula>
    </cfRule>
    <cfRule type="cellIs" dxfId="2" priority="2519" operator="equal">
      <formula>"FJ"</formula>
    </cfRule>
    <cfRule type="cellIs" dxfId="3" priority="2518" operator="equal">
      <formula>"FI"</formula>
    </cfRule>
    <cfRule type="cellIs" dxfId="4" priority="2517" operator="equal">
      <formula>"FE"</formula>
    </cfRule>
    <cfRule type="cellIs" dxfId="5" priority="2516" operator="equal">
      <formula>"SC"</formula>
    </cfRule>
    <cfRule type="cellIs" dxfId="6" priority="2515" operator="equal">
      <formula>"ET"</formula>
    </cfRule>
  </conditionalFormatting>
  <conditionalFormatting sqref="M83:N101">
    <cfRule type="cellIs" dxfId="0" priority="302" operator="equal">
      <formula>"DSR"</formula>
    </cfRule>
    <cfRule type="cellIs" dxfId="1" priority="301" operator="equal">
      <formula>"P"</formula>
    </cfRule>
    <cfRule type="cellIs" dxfId="2" priority="300" operator="equal">
      <formula>"FJ"</formula>
    </cfRule>
    <cfRule type="cellIs" dxfId="3" priority="299" operator="equal">
      <formula>"FI"</formula>
    </cfRule>
    <cfRule type="cellIs" dxfId="4" priority="298" operator="equal">
      <formula>"FE"</formula>
    </cfRule>
    <cfRule type="cellIs" dxfId="5" priority="297" operator="equal">
      <formula>"SC"</formula>
    </cfRule>
    <cfRule type="cellIs" dxfId="6" priority="296" operator="equal">
      <formula>"ET"</formula>
    </cfRule>
  </conditionalFormatting>
  <conditionalFormatting sqref="R83:S84">
    <cfRule type="cellIs" dxfId="0" priority="2094" operator="equal">
      <formula>"DSR"</formula>
    </cfRule>
    <cfRule type="cellIs" dxfId="1" priority="2093" operator="equal">
      <formula>"P"</formula>
    </cfRule>
    <cfRule type="cellIs" dxfId="2" priority="2092" operator="equal">
      <formula>"FJ"</formula>
    </cfRule>
    <cfRule type="cellIs" dxfId="3" priority="2091" operator="equal">
      <formula>"FI"</formula>
    </cfRule>
    <cfRule type="cellIs" dxfId="4" priority="2090" operator="equal">
      <formula>"FE"</formula>
    </cfRule>
    <cfRule type="cellIs" dxfId="5" priority="2089" operator="equal">
      <formula>"SC"</formula>
    </cfRule>
    <cfRule type="cellIs" dxfId="6" priority="2088" operator="equal">
      <formula>"ET"</formula>
    </cfRule>
  </conditionalFormatting>
  <conditionalFormatting sqref="I84:J85;I114:J114;I95:J96;I88:J90">
    <cfRule type="cellIs" dxfId="0" priority="2759" operator="equal">
      <formula>"DSR"</formula>
    </cfRule>
    <cfRule type="cellIs" dxfId="1" priority="2758" operator="equal">
      <formula>"P"</formula>
    </cfRule>
    <cfRule type="cellIs" dxfId="2" priority="2757" operator="equal">
      <formula>"FJ"</formula>
    </cfRule>
    <cfRule type="cellIs" dxfId="3" priority="2756" operator="equal">
      <formula>"FI"</formula>
    </cfRule>
    <cfRule type="cellIs" dxfId="4" priority="2755" operator="equal">
      <formula>"FE"</formula>
    </cfRule>
    <cfRule type="cellIs" dxfId="5" priority="2754" operator="equal">
      <formula>"SC"</formula>
    </cfRule>
    <cfRule type="cellIs" dxfId="6" priority="2753" operator="equal">
      <formula>"ET"</formula>
    </cfRule>
  </conditionalFormatting>
  <conditionalFormatting sqref="H86:L86;Q86:S86;O86">
    <cfRule type="cellIs" dxfId="0" priority="2507" operator="equal">
      <formula>"DSR"</formula>
    </cfRule>
    <cfRule type="cellIs" dxfId="1" priority="2506" operator="equal">
      <formula>"P"</formula>
    </cfRule>
    <cfRule type="cellIs" dxfId="2" priority="2505" operator="equal">
      <formula>"FJ"</formula>
    </cfRule>
    <cfRule type="cellIs" dxfId="3" priority="2504" operator="equal">
      <formula>"FI"</formula>
    </cfRule>
    <cfRule type="cellIs" dxfId="4" priority="2503" operator="equal">
      <formula>"FE"</formula>
    </cfRule>
    <cfRule type="cellIs" dxfId="5" priority="2502" operator="equal">
      <formula>"SC"</formula>
    </cfRule>
    <cfRule type="cellIs" dxfId="6" priority="2501" operator="equal">
      <formula>"ET"</formula>
    </cfRule>
  </conditionalFormatting>
  <conditionalFormatting sqref="H87:L87;Q87:S87;O87">
    <cfRule type="cellIs" dxfId="0" priority="2493" operator="equal">
      <formula>"DSR"</formula>
    </cfRule>
    <cfRule type="cellIs" dxfId="1" priority="2492" operator="equal">
      <formula>"P"</formula>
    </cfRule>
    <cfRule type="cellIs" dxfId="2" priority="2491" operator="equal">
      <formula>"FJ"</formula>
    </cfRule>
    <cfRule type="cellIs" dxfId="3" priority="2490" operator="equal">
      <formula>"FI"</formula>
    </cfRule>
    <cfRule type="cellIs" dxfId="4" priority="2489" operator="equal">
      <formula>"FE"</formula>
    </cfRule>
    <cfRule type="cellIs" dxfId="5" priority="2488" operator="equal">
      <formula>"SC"</formula>
    </cfRule>
    <cfRule type="cellIs" dxfId="6" priority="2487" operator="equal">
      <formula>"ET"</formula>
    </cfRule>
  </conditionalFormatting>
  <conditionalFormatting sqref="T87:U101">
    <cfRule type="cellIs" dxfId="0" priority="295" operator="equal">
      <formula>"DSR"</formula>
    </cfRule>
    <cfRule type="cellIs" dxfId="1" priority="294" operator="equal">
      <formula>"P"</formula>
    </cfRule>
    <cfRule type="cellIs" dxfId="2" priority="293" operator="equal">
      <formula>"FJ"</formula>
    </cfRule>
    <cfRule type="cellIs" dxfId="3" priority="292" operator="equal">
      <formula>"FI"</formula>
    </cfRule>
    <cfRule type="cellIs" dxfId="4" priority="291" operator="equal">
      <formula>"FE"</formula>
    </cfRule>
    <cfRule type="cellIs" dxfId="5" priority="290" operator="equal">
      <formula>"SC"</formula>
    </cfRule>
    <cfRule type="cellIs" dxfId="6" priority="289" operator="equal">
      <formula>"ET"</formula>
    </cfRule>
  </conditionalFormatting>
  <conditionalFormatting sqref="K88:L89;O88:P89">
    <cfRule type="cellIs" dxfId="0" priority="2080" operator="equal">
      <formula>"DSR"</formula>
    </cfRule>
    <cfRule type="cellIs" dxfId="1" priority="2079" operator="equal">
      <formula>"P"</formula>
    </cfRule>
    <cfRule type="cellIs" dxfId="2" priority="2078" operator="equal">
      <formula>"FJ"</formula>
    </cfRule>
    <cfRule type="cellIs" dxfId="3" priority="2077" operator="equal">
      <formula>"FI"</formula>
    </cfRule>
    <cfRule type="cellIs" dxfId="4" priority="2076" operator="equal">
      <formula>"FE"</formula>
    </cfRule>
    <cfRule type="cellIs" dxfId="5" priority="2075" operator="equal">
      <formula>"SC"</formula>
    </cfRule>
    <cfRule type="cellIs" dxfId="6" priority="2074" operator="equal">
      <formula>"ET"</formula>
    </cfRule>
  </conditionalFormatting>
  <conditionalFormatting sqref="H91:L91;Q91:S91;O91">
    <cfRule type="cellIs" dxfId="0" priority="2479" operator="equal">
      <formula>"DSR"</formula>
    </cfRule>
    <cfRule type="cellIs" dxfId="1" priority="2478" operator="equal">
      <formula>"P"</formula>
    </cfRule>
    <cfRule type="cellIs" dxfId="2" priority="2477" operator="equal">
      <formula>"FJ"</formula>
    </cfRule>
    <cfRule type="cellIs" dxfId="3" priority="2476" operator="equal">
      <formula>"FI"</formula>
    </cfRule>
    <cfRule type="cellIs" dxfId="4" priority="2475" operator="equal">
      <formula>"FE"</formula>
    </cfRule>
    <cfRule type="cellIs" dxfId="5" priority="2474" operator="equal">
      <formula>"SC"</formula>
    </cfRule>
    <cfRule type="cellIs" dxfId="6" priority="2473" operator="equal">
      <formula>"ET"</formula>
    </cfRule>
  </conditionalFormatting>
  <conditionalFormatting sqref="H92:L92;Q92:S92;O92">
    <cfRule type="cellIs" dxfId="0" priority="2465" operator="equal">
      <formula>"DSR"</formula>
    </cfRule>
    <cfRule type="cellIs" dxfId="1" priority="2464" operator="equal">
      <formula>"P"</formula>
    </cfRule>
    <cfRule type="cellIs" dxfId="2" priority="2463" operator="equal">
      <formula>"FJ"</formula>
    </cfRule>
    <cfRule type="cellIs" dxfId="3" priority="2462" operator="equal">
      <formula>"FI"</formula>
    </cfRule>
    <cfRule type="cellIs" dxfId="4" priority="2461" operator="equal">
      <formula>"FE"</formula>
    </cfRule>
    <cfRule type="cellIs" dxfId="5" priority="2460" operator="equal">
      <formula>"SC"</formula>
    </cfRule>
    <cfRule type="cellIs" dxfId="6" priority="2459" operator="equal">
      <formula>"ET"</formula>
    </cfRule>
  </conditionalFormatting>
  <conditionalFormatting sqref="H93:L93;Q93:S93;O93">
    <cfRule type="cellIs" dxfId="0" priority="2451" operator="equal">
      <formula>"DSR"</formula>
    </cfRule>
    <cfRule type="cellIs" dxfId="1" priority="2450" operator="equal">
      <formula>"P"</formula>
    </cfRule>
    <cfRule type="cellIs" dxfId="2" priority="2449" operator="equal">
      <formula>"FJ"</formula>
    </cfRule>
    <cfRule type="cellIs" dxfId="3" priority="2448" operator="equal">
      <formula>"FI"</formula>
    </cfRule>
    <cfRule type="cellIs" dxfId="4" priority="2447" operator="equal">
      <formula>"FE"</formula>
    </cfRule>
    <cfRule type="cellIs" dxfId="5" priority="2446" operator="equal">
      <formula>"SC"</formula>
    </cfRule>
    <cfRule type="cellIs" dxfId="6" priority="2445" operator="equal">
      <formula>"ET"</formula>
    </cfRule>
  </conditionalFormatting>
  <conditionalFormatting sqref="H94:L94;Q94:S94;O94">
    <cfRule type="cellIs" dxfId="0" priority="2437" operator="equal">
      <formula>"DSR"</formula>
    </cfRule>
    <cfRule type="cellIs" dxfId="1" priority="2436" operator="equal">
      <formula>"P"</formula>
    </cfRule>
    <cfRule type="cellIs" dxfId="2" priority="2435" operator="equal">
      <formula>"FJ"</formula>
    </cfRule>
    <cfRule type="cellIs" dxfId="3" priority="2434" operator="equal">
      <formula>"FI"</formula>
    </cfRule>
    <cfRule type="cellIs" dxfId="4" priority="2433" operator="equal">
      <formula>"FE"</formula>
    </cfRule>
    <cfRule type="cellIs" dxfId="5" priority="2432" operator="equal">
      <formula>"SC"</formula>
    </cfRule>
    <cfRule type="cellIs" dxfId="6" priority="2431" operator="equal">
      <formula>"ET"</formula>
    </cfRule>
  </conditionalFormatting>
  <conditionalFormatting sqref="K95:L96;O95:O96">
    <cfRule type="cellIs" dxfId="0" priority="2066" operator="equal">
      <formula>"DSR"</formula>
    </cfRule>
    <cfRule type="cellIs" dxfId="1" priority="2065" operator="equal">
      <formula>"P"</formula>
    </cfRule>
    <cfRule type="cellIs" dxfId="2" priority="2064" operator="equal">
      <formula>"FJ"</formula>
    </cfRule>
    <cfRule type="cellIs" dxfId="3" priority="2063" operator="equal">
      <formula>"FI"</formula>
    </cfRule>
    <cfRule type="cellIs" dxfId="4" priority="2062" operator="equal">
      <formula>"FE"</formula>
    </cfRule>
    <cfRule type="cellIs" dxfId="5" priority="2061" operator="equal">
      <formula>"SC"</formula>
    </cfRule>
    <cfRule type="cellIs" dxfId="6" priority="2060" operator="equal">
      <formula>"ET"</formula>
    </cfRule>
  </conditionalFormatting>
  <conditionalFormatting sqref="R95:S96">
    <cfRule type="cellIs" dxfId="0" priority="2059" operator="equal">
      <formula>"DSR"</formula>
    </cfRule>
    <cfRule type="cellIs" dxfId="1" priority="2058" operator="equal">
      <formula>"P"</formula>
    </cfRule>
    <cfRule type="cellIs" dxfId="2" priority="2057" operator="equal">
      <formula>"FJ"</formula>
    </cfRule>
    <cfRule type="cellIs" dxfId="3" priority="2056" operator="equal">
      <formula>"FI"</formula>
    </cfRule>
    <cfRule type="cellIs" dxfId="4" priority="2055" operator="equal">
      <formula>"FE"</formula>
    </cfRule>
    <cfRule type="cellIs" dxfId="5" priority="2054" operator="equal">
      <formula>"SC"</formula>
    </cfRule>
    <cfRule type="cellIs" dxfId="6" priority="2053" operator="equal">
      <formula>"ET"</formula>
    </cfRule>
  </conditionalFormatting>
  <conditionalFormatting sqref="H97:L97;Q97:S97;O97">
    <cfRule type="cellIs" dxfId="0" priority="2423" operator="equal">
      <formula>"DSR"</formula>
    </cfRule>
    <cfRule type="cellIs" dxfId="1" priority="2422" operator="equal">
      <formula>"P"</formula>
    </cfRule>
    <cfRule type="cellIs" dxfId="2" priority="2421" operator="equal">
      <formula>"FJ"</formula>
    </cfRule>
    <cfRule type="cellIs" dxfId="3" priority="2420" operator="equal">
      <formula>"FI"</formula>
    </cfRule>
    <cfRule type="cellIs" dxfId="4" priority="2419" operator="equal">
      <formula>"FE"</formula>
    </cfRule>
    <cfRule type="cellIs" dxfId="5" priority="2418" operator="equal">
      <formula>"SC"</formula>
    </cfRule>
    <cfRule type="cellIs" dxfId="6" priority="2417" operator="equal">
      <formula>"ET"</formula>
    </cfRule>
  </conditionalFormatting>
  <conditionalFormatting sqref="H98:L98;Q98:S98;O98">
    <cfRule type="cellIs" dxfId="0" priority="2409" operator="equal">
      <formula>"DSR"</formula>
    </cfRule>
    <cfRule type="cellIs" dxfId="1" priority="2408" operator="equal">
      <formula>"P"</formula>
    </cfRule>
    <cfRule type="cellIs" dxfId="2" priority="2407" operator="equal">
      <formula>"FJ"</formula>
    </cfRule>
    <cfRule type="cellIs" dxfId="3" priority="2406" operator="equal">
      <formula>"FI"</formula>
    </cfRule>
    <cfRule type="cellIs" dxfId="4" priority="2405" operator="equal">
      <formula>"FE"</formula>
    </cfRule>
    <cfRule type="cellIs" dxfId="5" priority="2404" operator="equal">
      <formula>"SC"</formula>
    </cfRule>
    <cfRule type="cellIs" dxfId="6" priority="2403" operator="equal">
      <formula>"ET"</formula>
    </cfRule>
  </conditionalFormatting>
  <conditionalFormatting sqref="H99:L99;Q99:S99;O99">
    <cfRule type="cellIs" dxfId="0" priority="2395" operator="equal">
      <formula>"DSR"</formula>
    </cfRule>
    <cfRule type="cellIs" dxfId="1" priority="2394" operator="equal">
      <formula>"P"</formula>
    </cfRule>
    <cfRule type="cellIs" dxfId="2" priority="2393" operator="equal">
      <formula>"FJ"</formula>
    </cfRule>
    <cfRule type="cellIs" dxfId="3" priority="2392" operator="equal">
      <formula>"FI"</formula>
    </cfRule>
    <cfRule type="cellIs" dxfId="4" priority="2391" operator="equal">
      <formula>"FE"</formula>
    </cfRule>
    <cfRule type="cellIs" dxfId="5" priority="2390" operator="equal">
      <formula>"SC"</formula>
    </cfRule>
    <cfRule type="cellIs" dxfId="6" priority="2389" operator="equal">
      <formula>"ET"</formula>
    </cfRule>
  </conditionalFormatting>
  <conditionalFormatting sqref="H100:L100;Q100:S100;O100">
    <cfRule type="cellIs" dxfId="0" priority="2052" operator="equal">
      <formula>"DSR"</formula>
    </cfRule>
    <cfRule type="cellIs" dxfId="1" priority="2051" operator="equal">
      <formula>"P"</formula>
    </cfRule>
    <cfRule type="cellIs" dxfId="2" priority="2050" operator="equal">
      <formula>"FJ"</formula>
    </cfRule>
    <cfRule type="cellIs" dxfId="3" priority="2049" operator="equal">
      <formula>"FI"</formula>
    </cfRule>
    <cfRule type="cellIs" dxfId="4" priority="2048" operator="equal">
      <formula>"FE"</formula>
    </cfRule>
    <cfRule type="cellIs" dxfId="5" priority="2047" operator="equal">
      <formula>"SC"</formula>
    </cfRule>
    <cfRule type="cellIs" dxfId="6" priority="2046" operator="equal">
      <formula>"ET"</formula>
    </cfRule>
  </conditionalFormatting>
  <conditionalFormatting sqref="H101:L101;Q101:S101;O101">
    <cfRule type="cellIs" dxfId="0" priority="2381" operator="equal">
      <formula>"DSR"</formula>
    </cfRule>
    <cfRule type="cellIs" dxfId="1" priority="2380" operator="equal">
      <formula>"P"</formula>
    </cfRule>
    <cfRule type="cellIs" dxfId="2" priority="2379" operator="equal">
      <formula>"FJ"</formula>
    </cfRule>
    <cfRule type="cellIs" dxfId="3" priority="2378" operator="equal">
      <formula>"FI"</formula>
    </cfRule>
    <cfRule type="cellIs" dxfId="4" priority="2377" operator="equal">
      <formula>"FE"</formula>
    </cfRule>
    <cfRule type="cellIs" dxfId="5" priority="2376" operator="equal">
      <formula>"SC"</formula>
    </cfRule>
    <cfRule type="cellIs" dxfId="6" priority="2375" operator="equal">
      <formula>"ET"</formula>
    </cfRule>
  </conditionalFormatting>
  <conditionalFormatting sqref="V101:Z101;AD101:AG101">
    <cfRule type="cellIs" dxfId="0" priority="2738" operator="equal">
      <formula>"DSR"</formula>
    </cfRule>
    <cfRule type="cellIs" dxfId="1" priority="2733" operator="equal">
      <formula>"P"</formula>
    </cfRule>
    <cfRule type="cellIs" dxfId="2" priority="2728" operator="equal">
      <formula>"FJ"</formula>
    </cfRule>
    <cfRule type="cellIs" dxfId="3" priority="2723" operator="equal">
      <formula>"FI"</formula>
    </cfRule>
    <cfRule type="cellIs" dxfId="4" priority="2718" operator="equal">
      <formula>"FE"</formula>
    </cfRule>
    <cfRule type="cellIs" dxfId="5" priority="2713" operator="equal">
      <formula>"SC"</formula>
    </cfRule>
    <cfRule type="cellIs" dxfId="6" priority="2708" operator="equal">
      <formula>"ET"</formula>
    </cfRule>
  </conditionalFormatting>
  <conditionalFormatting sqref="K102:L102;O102">
    <cfRule type="cellIs" dxfId="0" priority="2010" operator="equal">
      <formula>"DSR"</formula>
    </cfRule>
    <cfRule type="cellIs" dxfId="1" priority="2009" operator="equal">
      <formula>"P"</formula>
    </cfRule>
    <cfRule type="cellIs" dxfId="2" priority="2008" operator="equal">
      <formula>"FJ"</formula>
    </cfRule>
    <cfRule type="cellIs" dxfId="3" priority="2007" operator="equal">
      <formula>"FI"</formula>
    </cfRule>
    <cfRule type="cellIs" dxfId="4" priority="2006" operator="equal">
      <formula>"FE"</formula>
    </cfRule>
    <cfRule type="cellIs" dxfId="5" priority="2005" operator="equal">
      <formula>"SC"</formula>
    </cfRule>
    <cfRule type="cellIs" dxfId="6" priority="2004" operator="equal">
      <formula>"ET"</formula>
    </cfRule>
  </conditionalFormatting>
  <conditionalFormatting sqref="M102:N107">
    <cfRule type="cellIs" dxfId="0" priority="288" operator="equal">
      <formula>"DSR"</formula>
    </cfRule>
    <cfRule type="cellIs" dxfId="1" priority="287" operator="equal">
      <formula>"P"</formula>
    </cfRule>
    <cfRule type="cellIs" dxfId="2" priority="286" operator="equal">
      <formula>"FJ"</formula>
    </cfRule>
    <cfRule type="cellIs" dxfId="3" priority="285" operator="equal">
      <formula>"FI"</formula>
    </cfRule>
    <cfRule type="cellIs" dxfId="4" priority="284" operator="equal">
      <formula>"FE"</formula>
    </cfRule>
    <cfRule type="cellIs" dxfId="5" priority="283" operator="equal">
      <formula>"SC"</formula>
    </cfRule>
    <cfRule type="cellIs" dxfId="6" priority="282" operator="equal">
      <formula>"ET"</formula>
    </cfRule>
  </conditionalFormatting>
  <conditionalFormatting sqref="T102:U107">
    <cfRule type="cellIs" dxfId="0" priority="267" operator="equal">
      <formula>"DSR"</formula>
    </cfRule>
    <cfRule type="cellIs" dxfId="1" priority="266" operator="equal">
      <formula>"P"</formula>
    </cfRule>
    <cfRule type="cellIs" dxfId="2" priority="265" operator="equal">
      <formula>"FJ"</formula>
    </cfRule>
    <cfRule type="cellIs" dxfId="3" priority="264" operator="equal">
      <formula>"FI"</formula>
    </cfRule>
    <cfRule type="cellIs" dxfId="4" priority="263" operator="equal">
      <formula>"FE"</formula>
    </cfRule>
    <cfRule type="cellIs" dxfId="5" priority="262" operator="equal">
      <formula>"SC"</formula>
    </cfRule>
    <cfRule type="cellIs" dxfId="6" priority="261" operator="equal">
      <formula>"ET"</formula>
    </cfRule>
  </conditionalFormatting>
  <conditionalFormatting sqref="V102:Z102;AD102:AG102">
    <cfRule type="cellIs" dxfId="0" priority="2737" operator="equal">
      <formula>"DSR"</formula>
    </cfRule>
    <cfRule type="cellIs" dxfId="1" priority="2732" operator="equal">
      <formula>"P"</formula>
    </cfRule>
    <cfRule type="cellIs" dxfId="2" priority="2727" operator="equal">
      <formula>"FJ"</formula>
    </cfRule>
    <cfRule type="cellIs" dxfId="3" priority="2722" operator="equal">
      <formula>"FI"</formula>
    </cfRule>
    <cfRule type="cellIs" dxfId="4" priority="2717" operator="equal">
      <formula>"FE"</formula>
    </cfRule>
    <cfRule type="cellIs" dxfId="5" priority="2712" operator="equal">
      <formula>"SC"</formula>
    </cfRule>
    <cfRule type="cellIs" dxfId="6" priority="2707" operator="equal">
      <formula>"ET"</formula>
    </cfRule>
  </conditionalFormatting>
  <conditionalFormatting sqref="K103:L103;O103">
    <cfRule type="cellIs" dxfId="0" priority="1968" operator="equal">
      <formula>"DSR"</formula>
    </cfRule>
    <cfRule type="cellIs" dxfId="1" priority="1967" operator="equal">
      <formula>"P"</formula>
    </cfRule>
    <cfRule type="cellIs" dxfId="2" priority="1966" operator="equal">
      <formula>"FJ"</formula>
    </cfRule>
    <cfRule type="cellIs" dxfId="3" priority="1965" operator="equal">
      <formula>"FI"</formula>
    </cfRule>
    <cfRule type="cellIs" dxfId="4" priority="1964" operator="equal">
      <formula>"FE"</formula>
    </cfRule>
    <cfRule type="cellIs" dxfId="5" priority="1963" operator="equal">
      <formula>"SC"</formula>
    </cfRule>
    <cfRule type="cellIs" dxfId="6" priority="1962" operator="equal">
      <formula>"ET"</formula>
    </cfRule>
  </conditionalFormatting>
  <conditionalFormatting sqref="V103:Z103;AD103:AG103">
    <cfRule type="cellIs" dxfId="0" priority="2736" operator="equal">
      <formula>"DSR"</formula>
    </cfRule>
    <cfRule type="cellIs" dxfId="1" priority="2731" operator="equal">
      <formula>"P"</formula>
    </cfRule>
    <cfRule type="cellIs" dxfId="2" priority="2726" operator="equal">
      <formula>"FJ"</formula>
    </cfRule>
    <cfRule type="cellIs" dxfId="3" priority="2721" operator="equal">
      <formula>"FI"</formula>
    </cfRule>
    <cfRule type="cellIs" dxfId="4" priority="2716" operator="equal">
      <formula>"FE"</formula>
    </cfRule>
    <cfRule type="cellIs" dxfId="5" priority="2711" operator="equal">
      <formula>"SC"</formula>
    </cfRule>
    <cfRule type="cellIs" dxfId="6" priority="2706" operator="equal">
      <formula>"ET"</formula>
    </cfRule>
  </conditionalFormatting>
  <conditionalFormatting sqref="H104;K104:L104;O104;Q104:S104;V104:Z104;AD104:AG104">
    <cfRule type="cellIs" dxfId="0" priority="2735" operator="equal">
      <formula>"DSR"</formula>
    </cfRule>
    <cfRule type="cellIs" dxfId="1" priority="2730" operator="equal">
      <formula>"P"</formula>
    </cfRule>
    <cfRule type="cellIs" dxfId="2" priority="2725" operator="equal">
      <formula>"FJ"</formula>
    </cfRule>
    <cfRule type="cellIs" dxfId="3" priority="2720" operator="equal">
      <formula>"FI"</formula>
    </cfRule>
    <cfRule type="cellIs" dxfId="4" priority="2715" operator="equal">
      <formula>"FE"</formula>
    </cfRule>
    <cfRule type="cellIs" dxfId="5" priority="2710" operator="equal">
      <formula>"SC"</formula>
    </cfRule>
    <cfRule type="cellIs" dxfId="6" priority="2705" operator="equal">
      <formula>"ET"</formula>
    </cfRule>
  </conditionalFormatting>
  <conditionalFormatting sqref="H105:L105;O105;Q105:S105">
    <cfRule type="cellIs" dxfId="0" priority="2367" operator="equal">
      <formula>"DSR"</formula>
    </cfRule>
    <cfRule type="cellIs" dxfId="1" priority="2366" operator="equal">
      <formula>"P"</formula>
    </cfRule>
    <cfRule type="cellIs" dxfId="2" priority="2365" operator="equal">
      <formula>"FJ"</formula>
    </cfRule>
    <cfRule type="cellIs" dxfId="3" priority="2364" operator="equal">
      <formula>"FI"</formula>
    </cfRule>
    <cfRule type="cellIs" dxfId="4" priority="2363" operator="equal">
      <formula>"FE"</formula>
    </cfRule>
    <cfRule type="cellIs" dxfId="5" priority="2362" operator="equal">
      <formula>"SC"</formula>
    </cfRule>
    <cfRule type="cellIs" dxfId="6" priority="2361" operator="equal">
      <formula>"ET"</formula>
    </cfRule>
  </conditionalFormatting>
  <conditionalFormatting sqref="V105:Z105;AD105:AG105">
    <cfRule type="cellIs" dxfId="0" priority="2734" operator="equal">
      <formula>"DSR"</formula>
    </cfRule>
    <cfRule type="cellIs" dxfId="1" priority="2729" operator="equal">
      <formula>"P"</formula>
    </cfRule>
    <cfRule type="cellIs" dxfId="2" priority="2724" operator="equal">
      <formula>"FJ"</formula>
    </cfRule>
    <cfRule type="cellIs" dxfId="3" priority="2719" operator="equal">
      <formula>"FI"</formula>
    </cfRule>
    <cfRule type="cellIs" dxfId="4" priority="2714" operator="equal">
      <formula>"FE"</formula>
    </cfRule>
    <cfRule type="cellIs" dxfId="5" priority="2709" operator="equal">
      <formula>"SC"</formula>
    </cfRule>
    <cfRule type="cellIs" dxfId="6" priority="2704" operator="equal">
      <formula>"ET"</formula>
    </cfRule>
  </conditionalFormatting>
  <conditionalFormatting sqref="D106:G107">
    <cfRule type="cellIs" dxfId="0" priority="161" operator="equal">
      <formula>"DSR"</formula>
    </cfRule>
    <cfRule type="cellIs" dxfId="1" priority="160" operator="equal">
      <formula>"P"</formula>
    </cfRule>
    <cfRule type="cellIs" dxfId="2" priority="159" operator="equal">
      <formula>"FJ"</formula>
    </cfRule>
    <cfRule type="cellIs" dxfId="3" priority="158" operator="equal">
      <formula>"FI"</formula>
    </cfRule>
    <cfRule type="cellIs" dxfId="4" priority="157" operator="equal">
      <formula>"FE"</formula>
    </cfRule>
    <cfRule type="cellIs" dxfId="5" priority="156" operator="equal">
      <formula>"SC"</formula>
    </cfRule>
    <cfRule type="cellIs" dxfId="6" priority="155" operator="equal">
      <formula>"ET"</formula>
    </cfRule>
  </conditionalFormatting>
  <conditionalFormatting sqref="H106:L106;O106;Q106">
    <cfRule type="cellIs" dxfId="0" priority="2353" operator="equal">
      <formula>"DSR"</formula>
    </cfRule>
    <cfRule type="cellIs" dxfId="1" priority="2352" operator="equal">
      <formula>"P"</formula>
    </cfRule>
    <cfRule type="cellIs" dxfId="2" priority="2351" operator="equal">
      <formula>"FJ"</formula>
    </cfRule>
    <cfRule type="cellIs" dxfId="3" priority="2350" operator="equal">
      <formula>"FI"</formula>
    </cfRule>
    <cfRule type="cellIs" dxfId="4" priority="2349" operator="equal">
      <formula>"FE"</formula>
    </cfRule>
    <cfRule type="cellIs" dxfId="5" priority="2348" operator="equal">
      <formula>"SC"</formula>
    </cfRule>
    <cfRule type="cellIs" dxfId="6" priority="2347" operator="equal">
      <formula>"ET"</formula>
    </cfRule>
  </conditionalFormatting>
  <conditionalFormatting sqref="H107;K107:L107;O107;Q107:S107;AE107:AG107">
    <cfRule type="cellIs" dxfId="0" priority="2696" operator="equal">
      <formula>"DSR"</formula>
    </cfRule>
    <cfRule type="cellIs" dxfId="1" priority="2690" operator="equal">
      <formula>"P"</formula>
    </cfRule>
    <cfRule type="cellIs" dxfId="2" priority="2684" operator="equal">
      <formula>"FJ"</formula>
    </cfRule>
    <cfRule type="cellIs" dxfId="3" priority="2678" operator="equal">
      <formula>"FI"</formula>
    </cfRule>
    <cfRule type="cellIs" dxfId="4" priority="2672" operator="equal">
      <formula>"FE"</formula>
    </cfRule>
    <cfRule type="cellIs" dxfId="5" priority="2666" operator="equal">
      <formula>"SC"</formula>
    </cfRule>
    <cfRule type="cellIs" dxfId="6" priority="2660" operator="equal">
      <formula>"ET"</formula>
    </cfRule>
  </conditionalFormatting>
  <conditionalFormatting sqref="H109:L109;O109;Q109:S109">
    <cfRule type="cellIs" dxfId="0" priority="2339" operator="equal">
      <formula>"DSR"</formula>
    </cfRule>
    <cfRule type="cellIs" dxfId="1" priority="2338" operator="equal">
      <formula>"P"</formula>
    </cfRule>
    <cfRule type="cellIs" dxfId="2" priority="2337" operator="equal">
      <formula>"FJ"</formula>
    </cfRule>
    <cfRule type="cellIs" dxfId="3" priority="2336" operator="equal">
      <formula>"FI"</formula>
    </cfRule>
    <cfRule type="cellIs" dxfId="4" priority="2335" operator="equal">
      <formula>"FE"</formula>
    </cfRule>
    <cfRule type="cellIs" dxfId="5" priority="2334" operator="equal">
      <formula>"SC"</formula>
    </cfRule>
    <cfRule type="cellIs" dxfId="6" priority="2333" operator="equal">
      <formula>"ET"</formula>
    </cfRule>
  </conditionalFormatting>
  <conditionalFormatting sqref="T109:U116">
    <cfRule type="cellIs" dxfId="0" priority="260" operator="equal">
      <formula>"DSR"</formula>
    </cfRule>
    <cfRule type="cellIs" dxfId="1" priority="259" operator="equal">
      <formula>"P"</formula>
    </cfRule>
    <cfRule type="cellIs" dxfId="2" priority="258" operator="equal">
      <formula>"FJ"</formula>
    </cfRule>
    <cfRule type="cellIs" dxfId="3" priority="257" operator="equal">
      <formula>"FI"</formula>
    </cfRule>
    <cfRule type="cellIs" dxfId="4" priority="256" operator="equal">
      <formula>"FE"</formula>
    </cfRule>
    <cfRule type="cellIs" dxfId="5" priority="255" operator="equal">
      <formula>"SC"</formula>
    </cfRule>
    <cfRule type="cellIs" dxfId="6" priority="254" operator="equal">
      <formula>"ET"</formula>
    </cfRule>
  </conditionalFormatting>
  <conditionalFormatting sqref="V109:Z109;AD109:AG109">
    <cfRule type="cellIs" dxfId="0" priority="2694" operator="equal">
      <formula>"DSR"</formula>
    </cfRule>
    <cfRule type="cellIs" dxfId="1" priority="2688" operator="equal">
      <formula>"P"</formula>
    </cfRule>
    <cfRule type="cellIs" dxfId="2" priority="2682" operator="equal">
      <formula>"FJ"</formula>
    </cfRule>
    <cfRule type="cellIs" dxfId="3" priority="2676" operator="equal">
      <formula>"FI"</formula>
    </cfRule>
    <cfRule type="cellIs" dxfId="4" priority="2670" operator="equal">
      <formula>"FE"</formula>
    </cfRule>
    <cfRule type="cellIs" dxfId="5" priority="2664" operator="equal">
      <formula>"SC"</formula>
    </cfRule>
    <cfRule type="cellIs" dxfId="6" priority="2658" operator="equal">
      <formula>"ET"</formula>
    </cfRule>
  </conditionalFormatting>
  <conditionalFormatting sqref="AA109:AB116">
    <cfRule type="cellIs" dxfId="0" priority="232" operator="equal">
      <formula>"DSR"</formula>
    </cfRule>
    <cfRule type="cellIs" dxfId="1" priority="231" operator="equal">
      <formula>"P"</formula>
    </cfRule>
    <cfRule type="cellIs" dxfId="2" priority="230" operator="equal">
      <formula>"FJ"</formula>
    </cfRule>
    <cfRule type="cellIs" dxfId="3" priority="229" operator="equal">
      <formula>"FI"</formula>
    </cfRule>
    <cfRule type="cellIs" dxfId="4" priority="228" operator="equal">
      <formula>"FE"</formula>
    </cfRule>
    <cfRule type="cellIs" dxfId="5" priority="227" operator="equal">
      <formula>"SC"</formula>
    </cfRule>
    <cfRule type="cellIs" dxfId="6" priority="226" operator="equal">
      <formula>"ET"</formula>
    </cfRule>
  </conditionalFormatting>
  <conditionalFormatting sqref="H110;K110:L110;O110;Q110:S110;V110:Z110;AD110:AG110">
    <cfRule type="cellIs" dxfId="0" priority="2693" operator="equal">
      <formula>"DSR"</formula>
    </cfRule>
    <cfRule type="cellIs" dxfId="1" priority="2687" operator="equal">
      <formula>"P"</formula>
    </cfRule>
    <cfRule type="cellIs" dxfId="2" priority="2681" operator="equal">
      <formula>"FJ"</formula>
    </cfRule>
    <cfRule type="cellIs" dxfId="3" priority="2675" operator="equal">
      <formula>"FI"</formula>
    </cfRule>
    <cfRule type="cellIs" dxfId="4" priority="2669" operator="equal">
      <formula>"FE"</formula>
    </cfRule>
    <cfRule type="cellIs" dxfId="5" priority="2663" operator="equal">
      <formula>"SC"</formula>
    </cfRule>
    <cfRule type="cellIs" dxfId="6" priority="2657" operator="equal">
      <formula>"ET"</formula>
    </cfRule>
  </conditionalFormatting>
  <conditionalFormatting sqref="M110:N116">
    <cfRule type="cellIs" dxfId="0" priority="274" operator="equal">
      <formula>"DSR"</formula>
    </cfRule>
    <cfRule type="cellIs" dxfId="1" priority="273" operator="equal">
      <formula>"P"</formula>
    </cfRule>
    <cfRule type="cellIs" dxfId="2" priority="272" operator="equal">
      <formula>"FJ"</formula>
    </cfRule>
    <cfRule type="cellIs" dxfId="3" priority="271" operator="equal">
      <formula>"FI"</formula>
    </cfRule>
    <cfRule type="cellIs" dxfId="4" priority="270" operator="equal">
      <formula>"FE"</formula>
    </cfRule>
    <cfRule type="cellIs" dxfId="5" priority="269" operator="equal">
      <formula>"SC"</formula>
    </cfRule>
    <cfRule type="cellIs" dxfId="6" priority="268" operator="equal">
      <formula>"ET"</formula>
    </cfRule>
  </conditionalFormatting>
  <conditionalFormatting sqref="H111:L111;O111;Q111:S111">
    <cfRule type="cellIs" dxfId="0" priority="2325" operator="equal">
      <formula>"DSR"</formula>
    </cfRule>
    <cfRule type="cellIs" dxfId="1" priority="2324" operator="equal">
      <formula>"P"</formula>
    </cfRule>
    <cfRule type="cellIs" dxfId="2" priority="2323" operator="equal">
      <formula>"FJ"</formula>
    </cfRule>
    <cfRule type="cellIs" dxfId="3" priority="2322" operator="equal">
      <formula>"FI"</formula>
    </cfRule>
    <cfRule type="cellIs" dxfId="4" priority="2321" operator="equal">
      <formula>"FE"</formula>
    </cfRule>
    <cfRule type="cellIs" dxfId="5" priority="2320" operator="equal">
      <formula>"SC"</formula>
    </cfRule>
    <cfRule type="cellIs" dxfId="6" priority="2319" operator="equal">
      <formula>"ET"</formula>
    </cfRule>
  </conditionalFormatting>
  <conditionalFormatting sqref="V111:Z111;AD111:AG111">
    <cfRule type="cellIs" dxfId="0" priority="2692" operator="equal">
      <formula>"DSR"</formula>
    </cfRule>
    <cfRule type="cellIs" dxfId="1" priority="2686" operator="equal">
      <formula>"P"</formula>
    </cfRule>
    <cfRule type="cellIs" dxfId="2" priority="2680" operator="equal">
      <formula>"FJ"</formula>
    </cfRule>
    <cfRule type="cellIs" dxfId="3" priority="2674" operator="equal">
      <formula>"FI"</formula>
    </cfRule>
    <cfRule type="cellIs" dxfId="4" priority="2668" operator="equal">
      <formula>"FE"</formula>
    </cfRule>
    <cfRule type="cellIs" dxfId="5" priority="2662" operator="equal">
      <formula>"SC"</formula>
    </cfRule>
    <cfRule type="cellIs" dxfId="6" priority="2656" operator="equal">
      <formula>"ET"</formula>
    </cfRule>
  </conditionalFormatting>
  <conditionalFormatting sqref="H112;K112:L112;O112;Q112:S112;V112:Z112;AD112:AG112">
    <cfRule type="cellIs" dxfId="0" priority="2691" operator="equal">
      <formula>"DSR"</formula>
    </cfRule>
    <cfRule type="cellIs" dxfId="1" priority="2685" operator="equal">
      <formula>"P"</formula>
    </cfRule>
    <cfRule type="cellIs" dxfId="2" priority="2679" operator="equal">
      <formula>"FJ"</formula>
    </cfRule>
    <cfRule type="cellIs" dxfId="3" priority="2673" operator="equal">
      <formula>"FI"</formula>
    </cfRule>
    <cfRule type="cellIs" dxfId="4" priority="2667" operator="equal">
      <formula>"FE"</formula>
    </cfRule>
    <cfRule type="cellIs" dxfId="5" priority="2661" operator="equal">
      <formula>"SC"</formula>
    </cfRule>
    <cfRule type="cellIs" dxfId="6" priority="2655" operator="equal">
      <formula>"ET"</formula>
    </cfRule>
  </conditionalFormatting>
  <conditionalFormatting sqref="H113:L113;O113;Q113:S113">
    <cfRule type="cellIs" dxfId="0" priority="2311" operator="equal">
      <formula>"DSR"</formula>
    </cfRule>
    <cfRule type="cellIs" dxfId="1" priority="2310" operator="equal">
      <formula>"P"</formula>
    </cfRule>
    <cfRule type="cellIs" dxfId="2" priority="2309" operator="equal">
      <formula>"FJ"</formula>
    </cfRule>
    <cfRule type="cellIs" dxfId="3" priority="2308" operator="equal">
      <formula>"FI"</formula>
    </cfRule>
    <cfRule type="cellIs" dxfId="4" priority="2307" operator="equal">
      <formula>"FE"</formula>
    </cfRule>
    <cfRule type="cellIs" dxfId="5" priority="2306" operator="equal">
      <formula>"SC"</formula>
    </cfRule>
    <cfRule type="cellIs" dxfId="6" priority="2305" operator="equal">
      <formula>"ET"</formula>
    </cfRule>
  </conditionalFormatting>
  <conditionalFormatting sqref="H115:L115;O115;Q115:S115">
    <cfRule type="cellIs" dxfId="0" priority="2297" operator="equal">
      <formula>"DSR"</formula>
    </cfRule>
    <cfRule type="cellIs" dxfId="1" priority="2296" operator="equal">
      <formula>"P"</formula>
    </cfRule>
    <cfRule type="cellIs" dxfId="2" priority="2295" operator="equal">
      <formula>"FJ"</formula>
    </cfRule>
    <cfRule type="cellIs" dxfId="3" priority="2294" operator="equal">
      <formula>"FI"</formula>
    </cfRule>
    <cfRule type="cellIs" dxfId="4" priority="2293" operator="equal">
      <formula>"FE"</formula>
    </cfRule>
    <cfRule type="cellIs" dxfId="5" priority="2292" operator="equal">
      <formula>"SC"</formula>
    </cfRule>
    <cfRule type="cellIs" dxfId="6" priority="2291" operator="equal">
      <formula>"ET"</formula>
    </cfRule>
  </conditionalFormatting>
  <conditionalFormatting sqref="D131:O131;AD179:AH179;D180:H180;D186:AH186;K180:O180;D182:O185;Q183:AH185;Q180:U180;W180:AH180;U181:AA181;AD181:AH182;Q182:AA182;U179:AA179;Q160:Q161;U156:AA165;U150:AA151;AD149:AH165;Q149:AA149;U148:V148;K154:O155;K149:O149;K148;Q155:Z155;Q152:AA154;D154:H155;D148:H149;Q147:Q148;U146:AA147;Q145:AA145;U144:AA144;Q143:AA143;U142:AA142;T141:AA141;U140:AA140;AD137:AH147;Q137:AA139;Q133;U133:AH136;AD132:AH132;U132:AB132;Q131:AH131;D147:K147;D145:O145;D143:O143;D137:O139">
    <cfRule type="cellIs" dxfId="0" priority="3802" operator="equal">
      <formula>"DSR"</formula>
    </cfRule>
    <cfRule type="cellIs" dxfId="1" priority="3801" operator="equal">
      <formula>"P"</formula>
    </cfRule>
    <cfRule type="cellIs" dxfId="2" priority="3800" operator="equal">
      <formula>"FJ"</formula>
    </cfRule>
    <cfRule type="cellIs" dxfId="3" priority="3799" operator="equal">
      <formula>"FI"</formula>
    </cfRule>
    <cfRule type="cellIs" dxfId="4" priority="3798" operator="equal">
      <formula>"FE"</formula>
    </cfRule>
    <cfRule type="cellIs" dxfId="5" priority="3797" operator="equal">
      <formula>"SC"</formula>
    </cfRule>
    <cfRule type="cellIs" dxfId="6" priority="3796" operator="equal">
      <formula>"ET"</formula>
    </cfRule>
  </conditionalFormatting>
  <conditionalFormatting sqref="P131;P182:P185;P160:P161;P154:P155;P147:P149;P145;P143;P137:P139">
    <cfRule type="cellIs" dxfId="0" priority="3655" operator="equal">
      <formula>"DSR"</formula>
    </cfRule>
    <cfRule type="cellIs" dxfId="1" priority="3654" operator="equal">
      <formula>"P"</formula>
    </cfRule>
    <cfRule type="cellIs" dxfId="2" priority="3653" operator="equal">
      <formula>"FJ"</formula>
    </cfRule>
    <cfRule type="cellIs" dxfId="3" priority="3652" operator="equal">
      <formula>"FI"</formula>
    </cfRule>
    <cfRule type="cellIs" dxfId="4" priority="3651" operator="equal">
      <formula>"FE"</formula>
    </cfRule>
    <cfRule type="cellIs" dxfId="5" priority="3650" operator="equal">
      <formula>"SC"</formula>
    </cfRule>
    <cfRule type="cellIs" dxfId="6" priority="3649" operator="equal">
      <formula>"ET"</formula>
    </cfRule>
  </conditionalFormatting>
  <conditionalFormatting sqref="AL131:AO185">
    <cfRule type="cellIs" dxfId="7" priority="176" operator="greaterThan">
      <formula>0</formula>
    </cfRule>
  </conditionalFormatting>
  <conditionalFormatting sqref="D132:O132;Q132:T132">
    <cfRule type="cellIs" dxfId="0" priority="3620" operator="equal">
      <formula>"DSR"</formula>
    </cfRule>
    <cfRule type="cellIs" dxfId="1" priority="3619" operator="equal">
      <formula>"P"</formula>
    </cfRule>
    <cfRule type="cellIs" dxfId="2" priority="3618" operator="equal">
      <formula>"FJ"</formula>
    </cfRule>
    <cfRule type="cellIs" dxfId="3" priority="3617" operator="equal">
      <formula>"FI"</formula>
    </cfRule>
    <cfRule type="cellIs" dxfId="4" priority="3616" operator="equal">
      <formula>"FE"</formula>
    </cfRule>
    <cfRule type="cellIs" dxfId="5" priority="3615" operator="equal">
      <formula>"SC"</formula>
    </cfRule>
    <cfRule type="cellIs" dxfId="6" priority="3614" operator="equal">
      <formula>"ET"</formula>
    </cfRule>
  </conditionalFormatting>
  <conditionalFormatting sqref="D134:O134;Q134:T134">
    <cfRule type="cellIs" dxfId="0" priority="3606" operator="equal">
      <formula>"DSR"</formula>
    </cfRule>
    <cfRule type="cellIs" dxfId="1" priority="3605" operator="equal">
      <formula>"P"</formula>
    </cfRule>
    <cfRule type="cellIs" dxfId="2" priority="3604" operator="equal">
      <formula>"FJ"</formula>
    </cfRule>
    <cfRule type="cellIs" dxfId="3" priority="3603" operator="equal">
      <formula>"FI"</formula>
    </cfRule>
    <cfRule type="cellIs" dxfId="4" priority="3602" operator="equal">
      <formula>"FE"</formula>
    </cfRule>
    <cfRule type="cellIs" dxfId="5" priority="3601" operator="equal">
      <formula>"SC"</formula>
    </cfRule>
    <cfRule type="cellIs" dxfId="6" priority="3600" operator="equal">
      <formula>"ET"</formula>
    </cfRule>
  </conditionalFormatting>
  <conditionalFormatting sqref="D135:O135;Q135:T135">
    <cfRule type="cellIs" dxfId="0" priority="3592" operator="equal">
      <formula>"DSR"</formula>
    </cfRule>
    <cfRule type="cellIs" dxfId="1" priority="3591" operator="equal">
      <formula>"P"</formula>
    </cfRule>
    <cfRule type="cellIs" dxfId="2" priority="3590" operator="equal">
      <formula>"FJ"</formula>
    </cfRule>
    <cfRule type="cellIs" dxfId="3" priority="3589" operator="equal">
      <formula>"FI"</formula>
    </cfRule>
    <cfRule type="cellIs" dxfId="4" priority="3588" operator="equal">
      <formula>"FE"</formula>
    </cfRule>
    <cfRule type="cellIs" dxfId="5" priority="3587" operator="equal">
      <formula>"SC"</formula>
    </cfRule>
    <cfRule type="cellIs" dxfId="6" priority="3586" operator="equal">
      <formula>"ET"</formula>
    </cfRule>
  </conditionalFormatting>
  <conditionalFormatting sqref="D136:O136;Q136:T136">
    <cfRule type="cellIs" dxfId="0" priority="3578" operator="equal">
      <formula>"DSR"</formula>
    </cfRule>
    <cfRule type="cellIs" dxfId="1" priority="3577" operator="equal">
      <formula>"P"</formula>
    </cfRule>
    <cfRule type="cellIs" dxfId="2" priority="3576" operator="equal">
      <formula>"FJ"</formula>
    </cfRule>
    <cfRule type="cellIs" dxfId="3" priority="3575" operator="equal">
      <formula>"FI"</formula>
    </cfRule>
    <cfRule type="cellIs" dxfId="4" priority="3574" operator="equal">
      <formula>"FE"</formula>
    </cfRule>
    <cfRule type="cellIs" dxfId="5" priority="3573" operator="equal">
      <formula>"SC"</formula>
    </cfRule>
    <cfRule type="cellIs" dxfId="6" priority="3572" operator="equal">
      <formula>"ET"</formula>
    </cfRule>
  </conditionalFormatting>
  <conditionalFormatting sqref="AB137:AB154;AB156">
    <cfRule type="cellIs" dxfId="0" priority="2801" operator="equal">
      <formula>"DSR"</formula>
    </cfRule>
    <cfRule type="cellIs" dxfId="1" priority="2800" operator="equal">
      <formula>"P"</formula>
    </cfRule>
    <cfRule type="cellIs" dxfId="2" priority="2799" operator="equal">
      <formula>"FJ"</formula>
    </cfRule>
    <cfRule type="cellIs" dxfId="3" priority="2798" operator="equal">
      <formula>"FI"</formula>
    </cfRule>
    <cfRule type="cellIs" dxfId="4" priority="2797" operator="equal">
      <formula>"FE"</formula>
    </cfRule>
    <cfRule type="cellIs" dxfId="5" priority="2796" operator="equal">
      <formula>"SC"</formula>
    </cfRule>
    <cfRule type="cellIs" dxfId="6" priority="2795" operator="equal">
      <formula>"ET"</formula>
    </cfRule>
  </conditionalFormatting>
  <conditionalFormatting sqref="AC137:AC138;AC161:AC166;AC169:AC171;AC158:AC159;AC154;AC152;AC147:AC148;AC145;AC142:AC143">
    <cfRule type="cellIs" dxfId="0" priority="2822" operator="equal">
      <formula>"DSR"</formula>
    </cfRule>
    <cfRule type="cellIs" dxfId="1" priority="2821" operator="equal">
      <formula>"P"</formula>
    </cfRule>
    <cfRule type="cellIs" dxfId="2" priority="2820" operator="equal">
      <formula>"FJ"</formula>
    </cfRule>
    <cfRule type="cellIs" dxfId="3" priority="2819" operator="equal">
      <formula>"FI"</formula>
    </cfRule>
    <cfRule type="cellIs" dxfId="4" priority="2818" operator="equal">
      <formula>"FE"</formula>
    </cfRule>
    <cfRule type="cellIs" dxfId="5" priority="2817" operator="equal">
      <formula>"SC"</formula>
    </cfRule>
    <cfRule type="cellIs" dxfId="6" priority="2816" operator="equal">
      <formula>"ET"</formula>
    </cfRule>
  </conditionalFormatting>
  <conditionalFormatting sqref="D140:O140;Q140:T140">
    <cfRule type="cellIs" dxfId="0" priority="3564" operator="equal">
      <formula>"DSR"</formula>
    </cfRule>
    <cfRule type="cellIs" dxfId="1" priority="3563" operator="equal">
      <formula>"P"</formula>
    </cfRule>
    <cfRule type="cellIs" dxfId="2" priority="3562" operator="equal">
      <formula>"FJ"</formula>
    </cfRule>
    <cfRule type="cellIs" dxfId="3" priority="3561" operator="equal">
      <formula>"FI"</formula>
    </cfRule>
    <cfRule type="cellIs" dxfId="4" priority="3560" operator="equal">
      <formula>"FE"</formula>
    </cfRule>
    <cfRule type="cellIs" dxfId="5" priority="3559" operator="equal">
      <formula>"SC"</formula>
    </cfRule>
    <cfRule type="cellIs" dxfId="6" priority="3558" operator="equal">
      <formula>"ET"</formula>
    </cfRule>
  </conditionalFormatting>
  <conditionalFormatting sqref="D142:O142;Q142:T142">
    <cfRule type="cellIs" dxfId="0" priority="3550" operator="equal">
      <formula>"DSR"</formula>
    </cfRule>
    <cfRule type="cellIs" dxfId="1" priority="3549" operator="equal">
      <formula>"P"</formula>
    </cfRule>
    <cfRule type="cellIs" dxfId="2" priority="3548" operator="equal">
      <formula>"FJ"</formula>
    </cfRule>
    <cfRule type="cellIs" dxfId="3" priority="3547" operator="equal">
      <formula>"FI"</formula>
    </cfRule>
    <cfRule type="cellIs" dxfId="4" priority="3546" operator="equal">
      <formula>"FE"</formula>
    </cfRule>
    <cfRule type="cellIs" dxfId="5" priority="3545" operator="equal">
      <formula>"SC"</formula>
    </cfRule>
    <cfRule type="cellIs" dxfId="6" priority="3544" operator="equal">
      <formula>"ET"</formula>
    </cfRule>
  </conditionalFormatting>
  <conditionalFormatting sqref="D144:O144;Q144:T144">
    <cfRule type="cellIs" dxfId="0" priority="3536" operator="equal">
      <formula>"DSR"</formula>
    </cfRule>
    <cfRule type="cellIs" dxfId="1" priority="3535" operator="equal">
      <formula>"P"</formula>
    </cfRule>
    <cfRule type="cellIs" dxfId="2" priority="3534" operator="equal">
      <formula>"FJ"</formula>
    </cfRule>
    <cfRule type="cellIs" dxfId="3" priority="3533" operator="equal">
      <formula>"FI"</formula>
    </cfRule>
    <cfRule type="cellIs" dxfId="4" priority="3532" operator="equal">
      <formula>"FE"</formula>
    </cfRule>
    <cfRule type="cellIs" dxfId="5" priority="3531" operator="equal">
      <formula>"SC"</formula>
    </cfRule>
    <cfRule type="cellIs" dxfId="6" priority="3530" operator="equal">
      <formula>"ET"</formula>
    </cfRule>
  </conditionalFormatting>
  <conditionalFormatting sqref="D146:O146;Q146:T146">
    <cfRule type="cellIs" dxfId="0" priority="3522" operator="equal">
      <formula>"DSR"</formula>
    </cfRule>
    <cfRule type="cellIs" dxfId="1" priority="3521" operator="equal">
      <formula>"P"</formula>
    </cfRule>
    <cfRule type="cellIs" dxfId="2" priority="3520" operator="equal">
      <formula>"FJ"</formula>
    </cfRule>
    <cfRule type="cellIs" dxfId="3" priority="3519" operator="equal">
      <formula>"FI"</formula>
    </cfRule>
    <cfRule type="cellIs" dxfId="4" priority="3518" operator="equal">
      <formula>"FE"</formula>
    </cfRule>
    <cfRule type="cellIs" dxfId="5" priority="3517" operator="equal">
      <formula>"SC"</formula>
    </cfRule>
    <cfRule type="cellIs" dxfId="6" priority="3516" operator="equal">
      <formula>"ET"</formula>
    </cfRule>
  </conditionalFormatting>
  <conditionalFormatting sqref="R147:T148">
    <cfRule type="cellIs" dxfId="0" priority="3004" operator="equal">
      <formula>"DSR"</formula>
    </cfRule>
    <cfRule type="cellIs" dxfId="1" priority="3003" operator="equal">
      <formula>"P"</formula>
    </cfRule>
    <cfRule type="cellIs" dxfId="2" priority="3002" operator="equal">
      <formula>"FJ"</formula>
    </cfRule>
    <cfRule type="cellIs" dxfId="3" priority="3001" operator="equal">
      <formula>"FI"</formula>
    </cfRule>
    <cfRule type="cellIs" dxfId="4" priority="3000" operator="equal">
      <formula>"FE"</formula>
    </cfRule>
    <cfRule type="cellIs" dxfId="5" priority="2999" operator="equal">
      <formula>"SC"</formula>
    </cfRule>
    <cfRule type="cellIs" dxfId="6" priority="2998" operator="equal">
      <formula>"ET"</formula>
    </cfRule>
  </conditionalFormatting>
  <conditionalFormatting sqref="I148:J149;I180:J180;I160:J161;I152:J155">
    <cfRule type="cellIs" dxfId="0" priority="3788" operator="equal">
      <formula>"DSR"</formula>
    </cfRule>
    <cfRule type="cellIs" dxfId="1" priority="3787" operator="equal">
      <formula>"P"</formula>
    </cfRule>
    <cfRule type="cellIs" dxfId="2" priority="3786" operator="equal">
      <formula>"FJ"</formula>
    </cfRule>
    <cfRule type="cellIs" dxfId="3" priority="3785" operator="equal">
      <formula>"FI"</formula>
    </cfRule>
    <cfRule type="cellIs" dxfId="4" priority="3784" operator="equal">
      <formula>"FE"</formula>
    </cfRule>
    <cfRule type="cellIs" dxfId="5" priority="3783" operator="equal">
      <formula>"SC"</formula>
    </cfRule>
    <cfRule type="cellIs" dxfId="6" priority="3782" operator="equal">
      <formula>"ET"</formula>
    </cfRule>
  </conditionalFormatting>
  <conditionalFormatting sqref="D150:O150;Q150:T150">
    <cfRule type="cellIs" dxfId="0" priority="3508" operator="equal">
      <formula>"DSR"</formula>
    </cfRule>
    <cfRule type="cellIs" dxfId="1" priority="3507" operator="equal">
      <formula>"P"</formula>
    </cfRule>
    <cfRule type="cellIs" dxfId="2" priority="3506" operator="equal">
      <formula>"FJ"</formula>
    </cfRule>
    <cfRule type="cellIs" dxfId="3" priority="3505" operator="equal">
      <formula>"FI"</formula>
    </cfRule>
    <cfRule type="cellIs" dxfId="4" priority="3504" operator="equal">
      <formula>"FE"</formula>
    </cfRule>
    <cfRule type="cellIs" dxfId="5" priority="3503" operator="equal">
      <formula>"SC"</formula>
    </cfRule>
    <cfRule type="cellIs" dxfId="6" priority="3502" operator="equal">
      <formula>"ET"</formula>
    </cfRule>
  </conditionalFormatting>
  <conditionalFormatting sqref="D151:O151;Q151:T151">
    <cfRule type="cellIs" dxfId="0" priority="3494" operator="equal">
      <formula>"DSR"</formula>
    </cfRule>
    <cfRule type="cellIs" dxfId="1" priority="3493" operator="equal">
      <formula>"P"</formula>
    </cfRule>
    <cfRule type="cellIs" dxfId="2" priority="3492" operator="equal">
      <formula>"FJ"</formula>
    </cfRule>
    <cfRule type="cellIs" dxfId="3" priority="3491" operator="equal">
      <formula>"FI"</formula>
    </cfRule>
    <cfRule type="cellIs" dxfId="4" priority="3490" operator="equal">
      <formula>"FE"</formula>
    </cfRule>
    <cfRule type="cellIs" dxfId="5" priority="3489" operator="equal">
      <formula>"SC"</formula>
    </cfRule>
    <cfRule type="cellIs" dxfId="6" priority="3488" operator="equal">
      <formula>"ET"</formula>
    </cfRule>
  </conditionalFormatting>
  <conditionalFormatting sqref="D152:H153">
    <cfRule type="cellIs" dxfId="0" priority="2997" operator="equal">
      <formula>"DSR"</formula>
    </cfRule>
    <cfRule type="cellIs" dxfId="1" priority="2996" operator="equal">
      <formula>"P"</formula>
    </cfRule>
    <cfRule type="cellIs" dxfId="2" priority="2995" operator="equal">
      <formula>"FJ"</formula>
    </cfRule>
    <cfRule type="cellIs" dxfId="3" priority="2994" operator="equal">
      <formula>"FI"</formula>
    </cfRule>
    <cfRule type="cellIs" dxfId="4" priority="2993" operator="equal">
      <formula>"FE"</formula>
    </cfRule>
    <cfRule type="cellIs" dxfId="5" priority="2992" operator="equal">
      <formula>"SC"</formula>
    </cfRule>
    <cfRule type="cellIs" dxfId="6" priority="2991" operator="equal">
      <formula>"ET"</formula>
    </cfRule>
  </conditionalFormatting>
  <conditionalFormatting sqref="K152:P153">
    <cfRule type="cellIs" dxfId="0" priority="2990" operator="equal">
      <formula>"DSR"</formula>
    </cfRule>
    <cfRule type="cellIs" dxfId="1" priority="2989" operator="equal">
      <formula>"P"</formula>
    </cfRule>
    <cfRule type="cellIs" dxfId="2" priority="2988" operator="equal">
      <formula>"FJ"</formula>
    </cfRule>
    <cfRule type="cellIs" dxfId="3" priority="2987" operator="equal">
      <formula>"FI"</formula>
    </cfRule>
    <cfRule type="cellIs" dxfId="4" priority="2986" operator="equal">
      <formula>"FE"</formula>
    </cfRule>
    <cfRule type="cellIs" dxfId="5" priority="2985" operator="equal">
      <formula>"SC"</formula>
    </cfRule>
    <cfRule type="cellIs" dxfId="6" priority="2984" operator="equal">
      <formula>"ET"</formula>
    </cfRule>
  </conditionalFormatting>
  <conditionalFormatting sqref="D156:O156;Q156:T156">
    <cfRule type="cellIs" dxfId="0" priority="3480" operator="equal">
      <formula>"DSR"</formula>
    </cfRule>
    <cfRule type="cellIs" dxfId="1" priority="3479" operator="equal">
      <formula>"P"</formula>
    </cfRule>
    <cfRule type="cellIs" dxfId="2" priority="3478" operator="equal">
      <formula>"FJ"</formula>
    </cfRule>
    <cfRule type="cellIs" dxfId="3" priority="3477" operator="equal">
      <formula>"FI"</formula>
    </cfRule>
    <cfRule type="cellIs" dxfId="4" priority="3476" operator="equal">
      <formula>"FE"</formula>
    </cfRule>
    <cfRule type="cellIs" dxfId="5" priority="3475" operator="equal">
      <formula>"SC"</formula>
    </cfRule>
    <cfRule type="cellIs" dxfId="6" priority="3474" operator="equal">
      <formula>"ET"</formula>
    </cfRule>
  </conditionalFormatting>
  <conditionalFormatting sqref="D157:O157;Q157:T157">
    <cfRule type="cellIs" dxfId="0" priority="3466" operator="equal">
      <formula>"DSR"</formula>
    </cfRule>
    <cfRule type="cellIs" dxfId="1" priority="3465" operator="equal">
      <formula>"P"</formula>
    </cfRule>
    <cfRule type="cellIs" dxfId="2" priority="3464" operator="equal">
      <formula>"FJ"</formula>
    </cfRule>
    <cfRule type="cellIs" dxfId="3" priority="3463" operator="equal">
      <formula>"FI"</formula>
    </cfRule>
    <cfRule type="cellIs" dxfId="4" priority="3462" operator="equal">
      <formula>"FE"</formula>
    </cfRule>
    <cfRule type="cellIs" dxfId="5" priority="3461" operator="equal">
      <formula>"SC"</formula>
    </cfRule>
    <cfRule type="cellIs" dxfId="6" priority="3460" operator="equal">
      <formula>"ET"</formula>
    </cfRule>
  </conditionalFormatting>
  <conditionalFormatting sqref="D158:O158;Q158:T158">
    <cfRule type="cellIs" dxfId="0" priority="3452" operator="equal">
      <formula>"DSR"</formula>
    </cfRule>
    <cfRule type="cellIs" dxfId="1" priority="3451" operator="equal">
      <formula>"P"</formula>
    </cfRule>
    <cfRule type="cellIs" dxfId="2" priority="3450" operator="equal">
      <formula>"FJ"</formula>
    </cfRule>
    <cfRule type="cellIs" dxfId="3" priority="3449" operator="equal">
      <formula>"FI"</formula>
    </cfRule>
    <cfRule type="cellIs" dxfId="4" priority="3448" operator="equal">
      <formula>"FE"</formula>
    </cfRule>
    <cfRule type="cellIs" dxfId="5" priority="3447" operator="equal">
      <formula>"SC"</formula>
    </cfRule>
    <cfRule type="cellIs" dxfId="6" priority="3446" operator="equal">
      <formula>"ET"</formula>
    </cfRule>
  </conditionalFormatting>
  <conditionalFormatting sqref="D159:O159;Q159:T159">
    <cfRule type="cellIs" dxfId="0" priority="3438" operator="equal">
      <formula>"DSR"</formula>
    </cfRule>
    <cfRule type="cellIs" dxfId="1" priority="3437" operator="equal">
      <formula>"P"</formula>
    </cfRule>
    <cfRule type="cellIs" dxfId="2" priority="3436" operator="equal">
      <formula>"FJ"</formula>
    </cfRule>
    <cfRule type="cellIs" dxfId="3" priority="3435" operator="equal">
      <formula>"FI"</formula>
    </cfRule>
    <cfRule type="cellIs" dxfId="4" priority="3434" operator="equal">
      <formula>"FE"</formula>
    </cfRule>
    <cfRule type="cellIs" dxfId="5" priority="3433" operator="equal">
      <formula>"SC"</formula>
    </cfRule>
    <cfRule type="cellIs" dxfId="6" priority="3432" operator="equal">
      <formula>"ET"</formula>
    </cfRule>
  </conditionalFormatting>
  <conditionalFormatting sqref="D160:H161">
    <cfRule type="cellIs" dxfId="0" priority="2983" operator="equal">
      <formula>"DSR"</formula>
    </cfRule>
    <cfRule type="cellIs" dxfId="1" priority="2982" operator="equal">
      <formula>"P"</formula>
    </cfRule>
    <cfRule type="cellIs" dxfId="2" priority="2981" operator="equal">
      <formula>"FJ"</formula>
    </cfRule>
    <cfRule type="cellIs" dxfId="3" priority="2980" operator="equal">
      <formula>"FI"</formula>
    </cfRule>
    <cfRule type="cellIs" dxfId="4" priority="2979" operator="equal">
      <formula>"FE"</formula>
    </cfRule>
    <cfRule type="cellIs" dxfId="5" priority="2978" operator="equal">
      <formula>"SC"</formula>
    </cfRule>
    <cfRule type="cellIs" dxfId="6" priority="2977" operator="equal">
      <formula>"ET"</formula>
    </cfRule>
  </conditionalFormatting>
  <conditionalFormatting sqref="K160:O161">
    <cfRule type="cellIs" dxfId="0" priority="2976" operator="equal">
      <formula>"DSR"</formula>
    </cfRule>
    <cfRule type="cellIs" dxfId="1" priority="2975" operator="equal">
      <formula>"P"</formula>
    </cfRule>
    <cfRule type="cellIs" dxfId="2" priority="2974" operator="equal">
      <formula>"FJ"</formula>
    </cfRule>
    <cfRule type="cellIs" dxfId="3" priority="2973" operator="equal">
      <formula>"FI"</formula>
    </cfRule>
    <cfRule type="cellIs" dxfId="4" priority="2972" operator="equal">
      <formula>"FE"</formula>
    </cfRule>
    <cfRule type="cellIs" dxfId="5" priority="2971" operator="equal">
      <formula>"SC"</formula>
    </cfRule>
    <cfRule type="cellIs" dxfId="6" priority="2970" operator="equal">
      <formula>"ET"</formula>
    </cfRule>
  </conditionalFormatting>
  <conditionalFormatting sqref="R160:T161">
    <cfRule type="cellIs" dxfId="0" priority="2969" operator="equal">
      <formula>"DSR"</formula>
    </cfRule>
    <cfRule type="cellIs" dxfId="1" priority="2968" operator="equal">
      <formula>"P"</formula>
    </cfRule>
    <cfRule type="cellIs" dxfId="2" priority="2967" operator="equal">
      <formula>"FJ"</formula>
    </cfRule>
    <cfRule type="cellIs" dxfId="3" priority="2966" operator="equal">
      <formula>"FI"</formula>
    </cfRule>
    <cfRule type="cellIs" dxfId="4" priority="2965" operator="equal">
      <formula>"FE"</formula>
    </cfRule>
    <cfRule type="cellIs" dxfId="5" priority="2964" operator="equal">
      <formula>"SC"</formula>
    </cfRule>
    <cfRule type="cellIs" dxfId="6" priority="2963" operator="equal">
      <formula>"ET"</formula>
    </cfRule>
  </conditionalFormatting>
  <conditionalFormatting sqref="D162:O162;Q162:T162">
    <cfRule type="cellIs" dxfId="0" priority="3424" operator="equal">
      <formula>"DSR"</formula>
    </cfRule>
    <cfRule type="cellIs" dxfId="1" priority="3423" operator="equal">
      <formula>"P"</formula>
    </cfRule>
    <cfRule type="cellIs" dxfId="2" priority="3422" operator="equal">
      <formula>"FJ"</formula>
    </cfRule>
    <cfRule type="cellIs" dxfId="3" priority="3421" operator="equal">
      <formula>"FI"</formula>
    </cfRule>
    <cfRule type="cellIs" dxfId="4" priority="3420" operator="equal">
      <formula>"FE"</formula>
    </cfRule>
    <cfRule type="cellIs" dxfId="5" priority="3419" operator="equal">
      <formula>"SC"</formula>
    </cfRule>
    <cfRule type="cellIs" dxfId="6" priority="3418" operator="equal">
      <formula>"ET"</formula>
    </cfRule>
  </conditionalFormatting>
  <conditionalFormatting sqref="D163:O163;Q163:T163">
    <cfRule type="cellIs" dxfId="0" priority="3410" operator="equal">
      <formula>"DSR"</formula>
    </cfRule>
    <cfRule type="cellIs" dxfId="1" priority="3409" operator="equal">
      <formula>"P"</formula>
    </cfRule>
    <cfRule type="cellIs" dxfId="2" priority="3408" operator="equal">
      <formula>"FJ"</formula>
    </cfRule>
    <cfRule type="cellIs" dxfId="3" priority="3407" operator="equal">
      <formula>"FI"</formula>
    </cfRule>
    <cfRule type="cellIs" dxfId="4" priority="3406" operator="equal">
      <formula>"FE"</formula>
    </cfRule>
    <cfRule type="cellIs" dxfId="5" priority="3405" operator="equal">
      <formula>"SC"</formula>
    </cfRule>
    <cfRule type="cellIs" dxfId="6" priority="3404" operator="equal">
      <formula>"ET"</formula>
    </cfRule>
  </conditionalFormatting>
  <conditionalFormatting sqref="D164:O164;Q164:T164">
    <cfRule type="cellIs" dxfId="0" priority="3396" operator="equal">
      <formula>"DSR"</formula>
    </cfRule>
    <cfRule type="cellIs" dxfId="1" priority="3395" operator="equal">
      <formula>"P"</formula>
    </cfRule>
    <cfRule type="cellIs" dxfId="2" priority="3394" operator="equal">
      <formula>"FJ"</formula>
    </cfRule>
    <cfRule type="cellIs" dxfId="3" priority="3393" operator="equal">
      <formula>"FI"</formula>
    </cfRule>
    <cfRule type="cellIs" dxfId="4" priority="3392" operator="equal">
      <formula>"FE"</formula>
    </cfRule>
    <cfRule type="cellIs" dxfId="5" priority="3391" operator="equal">
      <formula>"SC"</formula>
    </cfRule>
    <cfRule type="cellIs" dxfId="6" priority="3390" operator="equal">
      <formula>"ET"</formula>
    </cfRule>
  </conditionalFormatting>
  <conditionalFormatting sqref="D165:O165;Q165:T165">
    <cfRule type="cellIs" dxfId="0" priority="2962" operator="equal">
      <formula>"DSR"</formula>
    </cfRule>
    <cfRule type="cellIs" dxfId="1" priority="2961" operator="equal">
      <formula>"P"</formula>
    </cfRule>
    <cfRule type="cellIs" dxfId="2" priority="2960" operator="equal">
      <formula>"FJ"</formula>
    </cfRule>
    <cfRule type="cellIs" dxfId="3" priority="2959" operator="equal">
      <formula>"FI"</formula>
    </cfRule>
    <cfRule type="cellIs" dxfId="4" priority="2958" operator="equal">
      <formula>"FE"</formula>
    </cfRule>
    <cfRule type="cellIs" dxfId="5" priority="2957" operator="equal">
      <formula>"SC"</formula>
    </cfRule>
    <cfRule type="cellIs" dxfId="6" priority="2956" operator="equal">
      <formula>"ET"</formula>
    </cfRule>
  </conditionalFormatting>
  <conditionalFormatting sqref="D166:O166;Q166:T166">
    <cfRule type="cellIs" dxfId="0" priority="3382" operator="equal">
      <formula>"DSR"</formula>
    </cfRule>
    <cfRule type="cellIs" dxfId="1" priority="3381" operator="equal">
      <formula>"P"</formula>
    </cfRule>
    <cfRule type="cellIs" dxfId="2" priority="3380" operator="equal">
      <formula>"FJ"</formula>
    </cfRule>
    <cfRule type="cellIs" dxfId="3" priority="3379" operator="equal">
      <formula>"FI"</formula>
    </cfRule>
    <cfRule type="cellIs" dxfId="4" priority="3378" operator="equal">
      <formula>"FE"</formula>
    </cfRule>
    <cfRule type="cellIs" dxfId="5" priority="3377" operator="equal">
      <formula>"SC"</formula>
    </cfRule>
    <cfRule type="cellIs" dxfId="6" priority="3376" operator="equal">
      <formula>"ET"</formula>
    </cfRule>
  </conditionalFormatting>
  <conditionalFormatting sqref="U166:AA166;AD166:AH166">
    <cfRule type="cellIs" dxfId="0" priority="3767" operator="equal">
      <formula>"DSR"</formula>
    </cfRule>
    <cfRule type="cellIs" dxfId="1" priority="3761" operator="equal">
      <formula>"P"</formula>
    </cfRule>
    <cfRule type="cellIs" dxfId="2" priority="3755" operator="equal">
      <formula>"FJ"</formula>
    </cfRule>
    <cfRule type="cellIs" dxfId="3" priority="3749" operator="equal">
      <formula>"FI"</formula>
    </cfRule>
    <cfRule type="cellIs" dxfId="4" priority="3743" operator="equal">
      <formula>"FE"</formula>
    </cfRule>
    <cfRule type="cellIs" dxfId="5" priority="3737" operator="equal">
      <formula>"SC"</formula>
    </cfRule>
    <cfRule type="cellIs" dxfId="6" priority="3731" operator="equal">
      <formula>"ET"</formula>
    </cfRule>
  </conditionalFormatting>
  <conditionalFormatting sqref="U167;Q167">
    <cfRule type="cellIs" dxfId="0" priority="2948" operator="equal">
      <formula>"DSR"</formula>
    </cfRule>
    <cfRule type="cellIs" dxfId="1" priority="2947" operator="equal">
      <formula>"P"</formula>
    </cfRule>
    <cfRule type="cellIs" dxfId="2" priority="2946" operator="equal">
      <formula>"FJ"</formula>
    </cfRule>
    <cfRule type="cellIs" dxfId="3" priority="2945" operator="equal">
      <formula>"FI"</formula>
    </cfRule>
    <cfRule type="cellIs" dxfId="4" priority="2944" operator="equal">
      <formula>"FE"</formula>
    </cfRule>
    <cfRule type="cellIs" dxfId="5" priority="2943" operator="equal">
      <formula>"SC"</formula>
    </cfRule>
    <cfRule type="cellIs" dxfId="6" priority="2942" operator="equal">
      <formula>"ET"</formula>
    </cfRule>
  </conditionalFormatting>
  <conditionalFormatting sqref="V167:AA167;AD167:AH167">
    <cfRule type="cellIs" dxfId="0" priority="3766" operator="equal">
      <formula>"DSR"</formula>
    </cfRule>
    <cfRule type="cellIs" dxfId="1" priority="3760" operator="equal">
      <formula>"P"</formula>
    </cfRule>
    <cfRule type="cellIs" dxfId="2" priority="3754" operator="equal">
      <formula>"FJ"</formula>
    </cfRule>
    <cfRule type="cellIs" dxfId="3" priority="3748" operator="equal">
      <formula>"FI"</formula>
    </cfRule>
    <cfRule type="cellIs" dxfId="4" priority="3742" operator="equal">
      <formula>"FE"</formula>
    </cfRule>
    <cfRule type="cellIs" dxfId="5" priority="3736" operator="equal">
      <formula>"SC"</formula>
    </cfRule>
    <cfRule type="cellIs" dxfId="6" priority="3730" operator="equal">
      <formula>"ET"</formula>
    </cfRule>
  </conditionalFormatting>
  <conditionalFormatting sqref="U168;Q168">
    <cfRule type="cellIs" dxfId="0" priority="2906" operator="equal">
      <formula>"DSR"</formula>
    </cfRule>
    <cfRule type="cellIs" dxfId="1" priority="2905" operator="equal">
      <formula>"P"</formula>
    </cfRule>
    <cfRule type="cellIs" dxfId="2" priority="2904" operator="equal">
      <formula>"FJ"</formula>
    </cfRule>
    <cfRule type="cellIs" dxfId="3" priority="2903" operator="equal">
      <formula>"FI"</formula>
    </cfRule>
    <cfRule type="cellIs" dxfId="4" priority="2902" operator="equal">
      <formula>"FE"</formula>
    </cfRule>
    <cfRule type="cellIs" dxfId="5" priority="2901" operator="equal">
      <formula>"SC"</formula>
    </cfRule>
    <cfRule type="cellIs" dxfId="6" priority="2900" operator="equal">
      <formula>"ET"</formula>
    </cfRule>
  </conditionalFormatting>
  <conditionalFormatting sqref="V168:AA168;AD168:AH168">
    <cfRule type="cellIs" dxfId="0" priority="3765" operator="equal">
      <formula>"DSR"</formula>
    </cfRule>
    <cfRule type="cellIs" dxfId="1" priority="3759" operator="equal">
      <formula>"P"</formula>
    </cfRule>
    <cfRule type="cellIs" dxfId="2" priority="3753" operator="equal">
      <formula>"FJ"</formula>
    </cfRule>
    <cfRule type="cellIs" dxfId="3" priority="3747" operator="equal">
      <formula>"FI"</formula>
    </cfRule>
    <cfRule type="cellIs" dxfId="4" priority="3741" operator="equal">
      <formula>"FE"</formula>
    </cfRule>
    <cfRule type="cellIs" dxfId="5" priority="3735" operator="equal">
      <formula>"SC"</formula>
    </cfRule>
    <cfRule type="cellIs" dxfId="6" priority="3729" operator="equal">
      <formula>"ET"</formula>
    </cfRule>
  </conditionalFormatting>
  <conditionalFormatting sqref="Q169:AA169;AD169:AH169">
    <cfRule type="cellIs" dxfId="0" priority="3764" operator="equal">
      <formula>"DSR"</formula>
    </cfRule>
    <cfRule type="cellIs" dxfId="1" priority="3758" operator="equal">
      <formula>"P"</formula>
    </cfRule>
    <cfRule type="cellIs" dxfId="2" priority="3752" operator="equal">
      <formula>"FJ"</formula>
    </cfRule>
    <cfRule type="cellIs" dxfId="3" priority="3746" operator="equal">
      <formula>"FI"</formula>
    </cfRule>
    <cfRule type="cellIs" dxfId="4" priority="3740" operator="equal">
      <formula>"FE"</formula>
    </cfRule>
    <cfRule type="cellIs" dxfId="5" priority="3734" operator="equal">
      <formula>"SC"</formula>
    </cfRule>
    <cfRule type="cellIs" dxfId="6" priority="3728" operator="equal">
      <formula>"ET"</formula>
    </cfRule>
  </conditionalFormatting>
  <conditionalFormatting sqref="D170:H170;AD170:AH170;Q170:AA170;K170:O170">
    <cfRule type="cellIs" dxfId="0" priority="3763" operator="equal">
      <formula>"DSR"</formula>
    </cfRule>
    <cfRule type="cellIs" dxfId="1" priority="3757" operator="equal">
      <formula>"P"</formula>
    </cfRule>
    <cfRule type="cellIs" dxfId="2" priority="3751" operator="equal">
      <formula>"FJ"</formula>
    </cfRule>
    <cfRule type="cellIs" dxfId="3" priority="3745" operator="equal">
      <formula>"FI"</formula>
    </cfRule>
    <cfRule type="cellIs" dxfId="4" priority="3739" operator="equal">
      <formula>"FE"</formula>
    </cfRule>
    <cfRule type="cellIs" dxfId="5" priority="3733" operator="equal">
      <formula>"SC"</formula>
    </cfRule>
    <cfRule type="cellIs" dxfId="6" priority="3727" operator="equal">
      <formula>"ET"</formula>
    </cfRule>
  </conditionalFormatting>
  <conditionalFormatting sqref="D171:O171;Q171:T171">
    <cfRule type="cellIs" dxfId="0" priority="3368" operator="equal">
      <formula>"DSR"</formula>
    </cfRule>
    <cfRule type="cellIs" dxfId="1" priority="3367" operator="equal">
      <formula>"P"</formula>
    </cfRule>
    <cfRule type="cellIs" dxfId="2" priority="3366" operator="equal">
      <formula>"FJ"</formula>
    </cfRule>
    <cfRule type="cellIs" dxfId="3" priority="3365" operator="equal">
      <formula>"FI"</formula>
    </cfRule>
    <cfRule type="cellIs" dxfId="4" priority="3364" operator="equal">
      <formula>"FE"</formula>
    </cfRule>
    <cfRule type="cellIs" dxfId="5" priority="3363" operator="equal">
      <formula>"SC"</formula>
    </cfRule>
    <cfRule type="cellIs" dxfId="6" priority="3362" operator="equal">
      <formula>"ET"</formula>
    </cfRule>
  </conditionalFormatting>
  <conditionalFormatting sqref="U171:AA171;AD171:AH171">
    <cfRule type="cellIs" dxfId="0" priority="3762" operator="equal">
      <formula>"DSR"</formula>
    </cfRule>
    <cfRule type="cellIs" dxfId="1" priority="3756" operator="equal">
      <formula>"P"</formula>
    </cfRule>
    <cfRule type="cellIs" dxfId="2" priority="3750" operator="equal">
      <formula>"FJ"</formula>
    </cfRule>
    <cfRule type="cellIs" dxfId="3" priority="3744" operator="equal">
      <formula>"FI"</formula>
    </cfRule>
    <cfRule type="cellIs" dxfId="4" priority="3738" operator="equal">
      <formula>"FE"</formula>
    </cfRule>
    <cfRule type="cellIs" dxfId="5" priority="3732" operator="equal">
      <formula>"SC"</formula>
    </cfRule>
    <cfRule type="cellIs" dxfId="6" priority="3726" operator="equal">
      <formula>"ET"</formula>
    </cfRule>
  </conditionalFormatting>
  <conditionalFormatting sqref="D172:O172;Q172">
    <cfRule type="cellIs" dxfId="0" priority="3354" operator="equal">
      <formula>"DSR"</formula>
    </cfRule>
    <cfRule type="cellIs" dxfId="1" priority="3353" operator="equal">
      <formula>"P"</formula>
    </cfRule>
    <cfRule type="cellIs" dxfId="2" priority="3352" operator="equal">
      <formula>"FJ"</formula>
    </cfRule>
    <cfRule type="cellIs" dxfId="3" priority="3351" operator="equal">
      <formula>"FI"</formula>
    </cfRule>
    <cfRule type="cellIs" dxfId="4" priority="3350" operator="equal">
      <formula>"FE"</formula>
    </cfRule>
    <cfRule type="cellIs" dxfId="5" priority="3349" operator="equal">
      <formula>"SC"</formula>
    </cfRule>
    <cfRule type="cellIs" dxfId="6" priority="3348" operator="equal">
      <formula>"ET"</formula>
    </cfRule>
  </conditionalFormatting>
  <conditionalFormatting sqref="D173:H173;Q173:T173;K173:O173">
    <cfRule type="cellIs" dxfId="0" priority="3718" operator="equal">
      <formula>"DSR"</formula>
    </cfRule>
    <cfRule type="cellIs" dxfId="1" priority="3712" operator="equal">
      <formula>"P"</formula>
    </cfRule>
    <cfRule type="cellIs" dxfId="2" priority="3706" operator="equal">
      <formula>"FJ"</formula>
    </cfRule>
    <cfRule type="cellIs" dxfId="3" priority="3700" operator="equal">
      <formula>"FI"</formula>
    </cfRule>
    <cfRule type="cellIs" dxfId="4" priority="3694" operator="equal">
      <formula>"FE"</formula>
    </cfRule>
    <cfRule type="cellIs" dxfId="5" priority="3688" operator="equal">
      <formula>"SC"</formula>
    </cfRule>
    <cfRule type="cellIs" dxfId="6" priority="3682" operator="equal">
      <formula>"ET"</formula>
    </cfRule>
  </conditionalFormatting>
  <conditionalFormatting sqref="D174:O174;Q174:T174">
    <cfRule type="cellIs" dxfId="0" priority="3340" operator="equal">
      <formula>"DSR"</formula>
    </cfRule>
    <cfRule type="cellIs" dxfId="1" priority="3339" operator="equal">
      <formula>"P"</formula>
    </cfRule>
    <cfRule type="cellIs" dxfId="2" priority="3338" operator="equal">
      <formula>"FJ"</formula>
    </cfRule>
    <cfRule type="cellIs" dxfId="3" priority="3337" operator="equal">
      <formula>"FI"</formula>
    </cfRule>
    <cfRule type="cellIs" dxfId="4" priority="3336" operator="equal">
      <formula>"FE"</formula>
    </cfRule>
    <cfRule type="cellIs" dxfId="5" priority="3335" operator="equal">
      <formula>"SC"</formula>
    </cfRule>
    <cfRule type="cellIs" dxfId="6" priority="3334" operator="equal">
      <formula>"ET"</formula>
    </cfRule>
  </conditionalFormatting>
  <conditionalFormatting sqref="U174:AA174;AD174:AE174">
    <cfRule type="cellIs" dxfId="0" priority="3717" operator="equal">
      <formula>"DSR"</formula>
    </cfRule>
    <cfRule type="cellIs" dxfId="1" priority="3711" operator="equal">
      <formula>"P"</formula>
    </cfRule>
    <cfRule type="cellIs" dxfId="2" priority="3705" operator="equal">
      <formula>"FJ"</formula>
    </cfRule>
    <cfRule type="cellIs" dxfId="3" priority="3699" operator="equal">
      <formula>"FI"</formula>
    </cfRule>
    <cfRule type="cellIs" dxfId="4" priority="3693" operator="equal">
      <formula>"FE"</formula>
    </cfRule>
    <cfRule type="cellIs" dxfId="5" priority="3687" operator="equal">
      <formula>"SC"</formula>
    </cfRule>
    <cfRule type="cellIs" dxfId="6" priority="3681" operator="equal">
      <formula>"ET"</formula>
    </cfRule>
  </conditionalFormatting>
  <conditionalFormatting sqref="AC174:AC177;AC179">
    <cfRule type="cellIs" dxfId="0" priority="2815" operator="equal">
      <formula>"DSR"</formula>
    </cfRule>
    <cfRule type="cellIs" dxfId="1" priority="2814" operator="equal">
      <formula>"P"</formula>
    </cfRule>
    <cfRule type="cellIs" dxfId="2" priority="2813" operator="equal">
      <formula>"FJ"</formula>
    </cfRule>
    <cfRule type="cellIs" dxfId="3" priority="2812" operator="equal">
      <formula>"FI"</formula>
    </cfRule>
    <cfRule type="cellIs" dxfId="4" priority="2811" operator="equal">
      <formula>"FE"</formula>
    </cfRule>
    <cfRule type="cellIs" dxfId="5" priority="2810" operator="equal">
      <formula>"SC"</formula>
    </cfRule>
    <cfRule type="cellIs" dxfId="6" priority="2809" operator="equal">
      <formula>"ET"</formula>
    </cfRule>
  </conditionalFormatting>
  <conditionalFormatting sqref="D175:O175;Q175:T175">
    <cfRule type="cellIs" dxfId="0" priority="3326" operator="equal">
      <formula>"DSR"</formula>
    </cfRule>
    <cfRule type="cellIs" dxfId="1" priority="3325" operator="equal">
      <formula>"P"</formula>
    </cfRule>
    <cfRule type="cellIs" dxfId="2" priority="3324" operator="equal">
      <formula>"FJ"</formula>
    </cfRule>
    <cfRule type="cellIs" dxfId="3" priority="3323" operator="equal">
      <formula>"FI"</formula>
    </cfRule>
    <cfRule type="cellIs" dxfId="4" priority="3322" operator="equal">
      <formula>"FE"</formula>
    </cfRule>
    <cfRule type="cellIs" dxfId="5" priority="3321" operator="equal">
      <formula>"SC"</formula>
    </cfRule>
    <cfRule type="cellIs" dxfId="6" priority="3320" operator="equal">
      <formula>"ET"</formula>
    </cfRule>
  </conditionalFormatting>
  <conditionalFormatting sqref="U175:AA175;AD175:AH175">
    <cfRule type="cellIs" dxfId="0" priority="3716" operator="equal">
      <formula>"DSR"</formula>
    </cfRule>
    <cfRule type="cellIs" dxfId="1" priority="3710" operator="equal">
      <formula>"P"</formula>
    </cfRule>
    <cfRule type="cellIs" dxfId="2" priority="3704" operator="equal">
      <formula>"FJ"</formula>
    </cfRule>
    <cfRule type="cellIs" dxfId="3" priority="3698" operator="equal">
      <formula>"FI"</formula>
    </cfRule>
    <cfRule type="cellIs" dxfId="4" priority="3692" operator="equal">
      <formula>"FE"</formula>
    </cfRule>
    <cfRule type="cellIs" dxfId="5" priority="3686" operator="equal">
      <formula>"SC"</formula>
    </cfRule>
    <cfRule type="cellIs" dxfId="6" priority="3680" operator="equal">
      <formula>"ET"</formula>
    </cfRule>
  </conditionalFormatting>
  <conditionalFormatting sqref="D176:H176;AD176:AH176;Q176:AA176;K176:O176">
    <cfRule type="cellIs" dxfId="0" priority="3715" operator="equal">
      <formula>"DSR"</formula>
    </cfRule>
    <cfRule type="cellIs" dxfId="1" priority="3709" operator="equal">
      <formula>"P"</formula>
    </cfRule>
    <cfRule type="cellIs" dxfId="2" priority="3703" operator="equal">
      <formula>"FJ"</formula>
    </cfRule>
    <cfRule type="cellIs" dxfId="3" priority="3697" operator="equal">
      <formula>"FI"</formula>
    </cfRule>
    <cfRule type="cellIs" dxfId="4" priority="3691" operator="equal">
      <formula>"FE"</formula>
    </cfRule>
    <cfRule type="cellIs" dxfId="5" priority="3685" operator="equal">
      <formula>"SC"</formula>
    </cfRule>
    <cfRule type="cellIs" dxfId="6" priority="3679" operator="equal">
      <formula>"ET"</formula>
    </cfRule>
  </conditionalFormatting>
  <conditionalFormatting sqref="D177:O177;Q177:T177">
    <cfRule type="cellIs" dxfId="0" priority="3312" operator="equal">
      <formula>"DSR"</formula>
    </cfRule>
    <cfRule type="cellIs" dxfId="1" priority="3311" operator="equal">
      <formula>"P"</formula>
    </cfRule>
    <cfRule type="cellIs" dxfId="2" priority="3310" operator="equal">
      <formula>"FJ"</formula>
    </cfRule>
    <cfRule type="cellIs" dxfId="3" priority="3309" operator="equal">
      <formula>"FI"</formula>
    </cfRule>
    <cfRule type="cellIs" dxfId="4" priority="3308" operator="equal">
      <formula>"FE"</formula>
    </cfRule>
    <cfRule type="cellIs" dxfId="5" priority="3307" operator="equal">
      <formula>"SC"</formula>
    </cfRule>
    <cfRule type="cellIs" dxfId="6" priority="3306" operator="equal">
      <formula>"ET"</formula>
    </cfRule>
  </conditionalFormatting>
  <conditionalFormatting sqref="U177:AA177;AD177:AH177">
    <cfRule type="cellIs" dxfId="0" priority="3714" operator="equal">
      <formula>"DSR"</formula>
    </cfRule>
    <cfRule type="cellIs" dxfId="1" priority="3708" operator="equal">
      <formula>"P"</formula>
    </cfRule>
    <cfRule type="cellIs" dxfId="2" priority="3702" operator="equal">
      <formula>"FJ"</formula>
    </cfRule>
    <cfRule type="cellIs" dxfId="3" priority="3696" operator="equal">
      <formula>"FI"</formula>
    </cfRule>
    <cfRule type="cellIs" dxfId="4" priority="3690" operator="equal">
      <formula>"FE"</formula>
    </cfRule>
    <cfRule type="cellIs" dxfId="5" priority="3684" operator="equal">
      <formula>"SC"</formula>
    </cfRule>
    <cfRule type="cellIs" dxfId="6" priority="3678" operator="equal">
      <formula>"ET"</formula>
    </cfRule>
  </conditionalFormatting>
  <conditionalFormatting sqref="D178:H178;AD178:AH178;Q178:AA178;K178:O178">
    <cfRule type="cellIs" dxfId="0" priority="3713" operator="equal">
      <formula>"DSR"</formula>
    </cfRule>
    <cfRule type="cellIs" dxfId="1" priority="3707" operator="equal">
      <formula>"P"</formula>
    </cfRule>
    <cfRule type="cellIs" dxfId="2" priority="3701" operator="equal">
      <formula>"FJ"</formula>
    </cfRule>
    <cfRule type="cellIs" dxfId="3" priority="3695" operator="equal">
      <formula>"FI"</formula>
    </cfRule>
    <cfRule type="cellIs" dxfId="4" priority="3689" operator="equal">
      <formula>"FE"</formula>
    </cfRule>
    <cfRule type="cellIs" dxfId="5" priority="3683" operator="equal">
      <formula>"SC"</formula>
    </cfRule>
    <cfRule type="cellIs" dxfId="6" priority="3677" operator="equal">
      <formula>"ET"</formula>
    </cfRule>
  </conditionalFormatting>
  <conditionalFormatting sqref="D179:O179;Q179:T179">
    <cfRule type="cellIs" dxfId="0" priority="3298" operator="equal">
      <formula>"DSR"</formula>
    </cfRule>
    <cfRule type="cellIs" dxfId="1" priority="3297" operator="equal">
      <formula>"P"</formula>
    </cfRule>
    <cfRule type="cellIs" dxfId="2" priority="3296" operator="equal">
      <formula>"FJ"</formula>
    </cfRule>
    <cfRule type="cellIs" dxfId="3" priority="3295" operator="equal">
      <formula>"FI"</formula>
    </cfRule>
    <cfRule type="cellIs" dxfId="4" priority="3294" operator="equal">
      <formula>"FE"</formula>
    </cfRule>
    <cfRule type="cellIs" dxfId="5" priority="3293" operator="equal">
      <formula>"SC"</formula>
    </cfRule>
    <cfRule type="cellIs" dxfId="6" priority="3292" operator="equal">
      <formula>"ET"</formula>
    </cfRule>
  </conditionalFormatting>
  <conditionalFormatting sqref="D181:O181;Q181:T181">
    <cfRule type="cellIs" dxfId="0" priority="3284" operator="equal">
      <formula>"DSR"</formula>
    </cfRule>
    <cfRule type="cellIs" dxfId="1" priority="3283" operator="equal">
      <formula>"P"</formula>
    </cfRule>
    <cfRule type="cellIs" dxfId="2" priority="3282" operator="equal">
      <formula>"FJ"</formula>
    </cfRule>
    <cfRule type="cellIs" dxfId="3" priority="3281" operator="equal">
      <formula>"FI"</formula>
    </cfRule>
    <cfRule type="cellIs" dxfId="4" priority="3280" operator="equal">
      <formula>"FE"</formula>
    </cfRule>
    <cfRule type="cellIs" dxfId="5" priority="3279" operator="equal">
      <formula>"SC"</formula>
    </cfRule>
    <cfRule type="cellIs" dxfId="6" priority="3278" operator="equal">
      <formula>"ET"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ABSENTEÍSMO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superprod01</dc:creator>
  <cp:lastModifiedBy>Sergio Betini - Metalosa Indú</cp:lastModifiedBy>
  <dcterms:created xsi:type="dcterms:W3CDTF">2026-01-08T18:29:00Z</dcterms:created>
  <dcterms:modified xsi:type="dcterms:W3CDTF">2026-01-08T19:33:26Z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1E4F3B0167794D9A96680CF01047E7D8_11</vt:lpwstr>
  </property>
  <property fmtid="{D5CDD505-2E9C-101B-9397-08002B2CF9AE}" pid="3" name="KSOProductBuildVer">
    <vt:lpwstr>1046-12.2.0.23196</vt:lpwstr>
  </property>
</Properties>
</file>